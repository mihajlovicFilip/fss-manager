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ijava" sheetId="1" r:id="rId1"/>
    <sheet name="Ekipno" sheetId="2" r:id="rId2"/>
    <sheet name="Pravilnik" sheetId="3" state="hidden" r:id="rId3"/>
  </sheets>
  <definedNames>
    <definedName name="disc_A">Pravilnik!$K$2:$K$7</definedName>
    <definedName name="disc_B">Pravilnik!$O$2:$O$6</definedName>
    <definedName name="disc_C">Pravilnik!$S$2:$S$6</definedName>
    <definedName name="disc_D">Pravilnik!$W$2:$W$6</definedName>
    <definedName name="disc_E">Pravilnik!$AA$2:$AA$6</definedName>
    <definedName name="disc_F">Pravilnik!$AE$2:$AE$7</definedName>
    <definedName name="disc_G">Pravilnik!$AI$2:$AI$8</definedName>
    <definedName name="disc_H">Pravilnik!$AM$2:$AM$9</definedName>
    <definedName name="disc_I">Pravilnik!$AQ$2:$AQ$9</definedName>
    <definedName name="disc_J">Pravilnik!$AU$2:$AU$9</definedName>
    <definedName name="ekipe">Pravilnik!$AY$2:$BA$7</definedName>
    <definedName name="godista">Pravilnik!$E$2:$E$101</definedName>
    <definedName name="grupe">Pravilnik!$A$2:$C$11</definedName>
    <definedName name="kg_A_M">Pravilnik!$M$2:$M$4</definedName>
    <definedName name="kg_A_Z">Pravilnik!$N$2:$N$4</definedName>
    <definedName name="kg_B_M">Pravilnik!$Q$2:$Q$4</definedName>
    <definedName name="kg_B_Z">Pravilnik!$R$2:$R$4</definedName>
    <definedName name="kg_C_M">Pravilnik!$U$2:$U$4</definedName>
    <definedName name="kg_C_Z">Pravilnik!$V$2:$V$4</definedName>
    <definedName name="kg_D_M">Pravilnik!$Y$2:$Y$4</definedName>
    <definedName name="kg_D_Z">Pravilnik!$Z$2:$Z$4</definedName>
    <definedName name="kg_E_M">Pravilnik!$AC$2:$AC$4</definedName>
    <definedName name="kg_E_Z">Pravilnik!$AD$2:$AD$4</definedName>
    <definedName name="kg_F_M">Pravilnik!$AG$2:$AG$4</definedName>
    <definedName name="kg_F_Z">Pravilnik!$AH$2:$AH$4</definedName>
    <definedName name="kg_G_M">Pravilnik!$AK$2:$AK$4</definedName>
    <definedName name="kg_G_Z">Pravilnik!$AL$2:$AL$4</definedName>
    <definedName name="kg_H_M">Pravilnik!$AO$2:$AO$2</definedName>
    <definedName name="kg_H_Z">Pravilnik!$AP$2:$AP$2</definedName>
    <definedName name="kg_I_M">Pravilnik!$AS$2:$AS$2</definedName>
    <definedName name="kg_I_Z">Pravilnik!$AT$2:$AT$2</definedName>
    <definedName name="kg_J_M">Pravilnik!$AW$2:$AW$2</definedName>
    <definedName name="kg_J_Z">Pravilnik!$AX$2:$AX$2</definedName>
    <definedName name="pojasevi">Pravilnik!$F$2:$F$8</definedName>
    <definedName name="polovi">Pravilnik!$G$2:$G$3</definedName>
    <definedName name="_xlnm.Print_Titles" localSheetId="1">Ekipno!$9:$9</definedName>
    <definedName name="_xlnm.Print_Titles" localSheetId="0">Prijava!$10:$10</definedName>
    <definedName name="sve_discipline">Pravilnik!$H$2:$H$14</definedName>
    <definedName name="sve_ekipne">Pravilnik!$I$2:$I$7</definedName>
    <definedName name="sve_kilaze">Pravilnik!$J$2:$J$32</definedName>
    <definedName name="tdisc_A">Pravilnik!$L$2:$L$4</definedName>
    <definedName name="tdisc_B">Pravilnik!$P$2:$P$4</definedName>
    <definedName name="tdisc_C">Pravilnik!$T$2:$T$5</definedName>
    <definedName name="tdisc_D">Pravilnik!$X$2:$X$5</definedName>
    <definedName name="tdisc_E">Pravilnik!$AB$2:$AB$5</definedName>
    <definedName name="tdisc_F">Pravilnik!$AF$2:$AF$5</definedName>
    <definedName name="tdisc_G">Pravilnik!$AJ$2:$AJ$5</definedName>
    <definedName name="tdisc_H">Pravilnik!$AN$2:$AN$5</definedName>
    <definedName name="tdisc_I">Pravilnik!$AR$2:$AR$5</definedName>
    <definedName name="vrste">Pravilnik!$BB$2:$BB$5</definedName>
  </definedNames>
  <calcPr calcId="124519" fullCalcOnLoad="1"/>
</workbook>
</file>

<file path=xl/sharedStrings.xml><?xml version="1.0" encoding="utf-8"?>
<sst xmlns="http://schemas.openxmlformats.org/spreadsheetml/2006/main" count="336" uniqueCount="179">
  <si>
    <t>PRIJAVA TAKMIČARA</t>
  </si>
  <si>
    <t>Fudokan savez Srbije · popunjava klub i dostavlja savezu · takmičarska sezona 2026. · izdanje 25.08.2026.</t>
  </si>
  <si>
    <t>Unos počinje godištem: uzrasna grupa i naziv uzrasta popunjavaju se automatski, a padajući meni nudi discipline koje su moguće u odnosu na uzrast. Telesna težina unosi se isključivo uz Fudokan sport kumite, budući da je tradicionalni kumite apsolutna kategorija. Kolona „Provera" služi za proveru kompletnosti prijave. Ekipne prijave se unose na listu „Ekipno".</t>
  </si>
  <si>
    <t>Klub</t>
  </si>
  <si>
    <t>pun naziv kluba, onako kako se navodi u rezultatima</t>
  </si>
  <si>
    <t>Grad</t>
  </si>
  <si>
    <t>Trener</t>
  </si>
  <si>
    <t>Takmičenje</t>
  </si>
  <si>
    <t>naziv takmičenja za koje se prijava podnosi</t>
  </si>
  <si>
    <t>Godište</t>
  </si>
  <si>
    <t>Ime i prezime</t>
  </si>
  <si>
    <t>Pol</t>
  </si>
  <si>
    <t>Pojas</t>
  </si>
  <si>
    <t>Grupa</t>
  </si>
  <si>
    <t>Uzrast</t>
  </si>
  <si>
    <t>Disciplina 1</t>
  </si>
  <si>
    <t>Disciplina 2</t>
  </si>
  <si>
    <t>Disciplina 3</t>
  </si>
  <si>
    <t>Disciplina 4</t>
  </si>
  <si>
    <t>Disciplina 5</t>
  </si>
  <si>
    <t>Disciplina 6</t>
  </si>
  <si>
    <t>Disciplina 7</t>
  </si>
  <si>
    <t>Disciplina 8</t>
  </si>
  <si>
    <t>Telesna težina</t>
  </si>
  <si>
    <t>Provera</t>
  </si>
  <si>
    <t>EKIPNE PRIJAVE</t>
  </si>
  <si>
    <t>Popunjava se samo ako klub prijavljuje ekipe</t>
  </si>
  <si>
    <t>Jedan red predstavlja jednu ekipu; klub može prijaviti više ekipa u istoj disciplini, svaku u zasebnom redu. Unos počinje godištem prvog člana, iz kojeg se izvodi uzrasna grupa, pa padajući meni nudi ekipne discipline koje su moguće u odnosu na taj uzrast. Svi članovi ekipe moraju pripadati istoj uzrasnoj grupi.</t>
  </si>
  <si>
    <t>preuzima se sa lista „Prijava"</t>
  </si>
  <si>
    <t>Disciplina</t>
  </si>
  <si>
    <t>Vrsta</t>
  </si>
  <si>
    <t>1. godište</t>
  </si>
  <si>
    <t>1. ime i prezime</t>
  </si>
  <si>
    <t>1. pol</t>
  </si>
  <si>
    <t>2. godište</t>
  </si>
  <si>
    <t>2. ime i prezime</t>
  </si>
  <si>
    <t>2. pol</t>
  </si>
  <si>
    <t>3. godište</t>
  </si>
  <si>
    <t>3. ime i prezime</t>
  </si>
  <si>
    <t>3. pol</t>
  </si>
  <si>
    <t>4. godište</t>
  </si>
  <si>
    <t>4. ime i prezime</t>
  </si>
  <si>
    <t>4. pol</t>
  </si>
  <si>
    <t>od godišta</t>
  </si>
  <si>
    <t>grupa</t>
  </si>
  <si>
    <t>uzrast</t>
  </si>
  <si>
    <t>J</t>
  </si>
  <si>
    <t>veterani</t>
  </si>
  <si>
    <t>I</t>
  </si>
  <si>
    <t>stariji seniori</t>
  </si>
  <si>
    <t>H</t>
  </si>
  <si>
    <t>mlađi seniori</t>
  </si>
  <si>
    <t>G</t>
  </si>
  <si>
    <t>omladinci</t>
  </si>
  <si>
    <t>F</t>
  </si>
  <si>
    <t>juniori</t>
  </si>
  <si>
    <t>E</t>
  </si>
  <si>
    <t>kadeti</t>
  </si>
  <si>
    <t>D</t>
  </si>
  <si>
    <t>stariji pioniri</t>
  </si>
  <si>
    <t>C</t>
  </si>
  <si>
    <t>pioniri</t>
  </si>
  <si>
    <t>B</t>
  </si>
  <si>
    <t>mlađi pioniri</t>
  </si>
  <si>
    <t>A</t>
  </si>
  <si>
    <t>poletarci</t>
  </si>
  <si>
    <t>godista</t>
  </si>
  <si>
    <t>pojasevi</t>
  </si>
  <si>
    <t>beli</t>
  </si>
  <si>
    <t>žuti</t>
  </si>
  <si>
    <t>oranž</t>
  </si>
  <si>
    <t>zeleni</t>
  </si>
  <si>
    <t>plavi</t>
  </si>
  <si>
    <t>braon</t>
  </si>
  <si>
    <t>crni</t>
  </si>
  <si>
    <t>polovi</t>
  </si>
  <si>
    <t>muški</t>
  </si>
  <si>
    <t>ženski</t>
  </si>
  <si>
    <t>sve_discipline</t>
  </si>
  <si>
    <t>Kate</t>
  </si>
  <si>
    <t>Kihon u mestu</t>
  </si>
  <si>
    <t>Kihon kumite</t>
  </si>
  <si>
    <t>Kihon ippon kumite</t>
  </si>
  <si>
    <t>Jiu ippon kumite</t>
  </si>
  <si>
    <t>Ko go kumite</t>
  </si>
  <si>
    <t>Fuku go</t>
  </si>
  <si>
    <t>Kumite</t>
  </si>
  <si>
    <t>Tsumeai</t>
  </si>
  <si>
    <t>Tamashiwari</t>
  </si>
  <si>
    <t>Kobudo</t>
  </si>
  <si>
    <t>Fudokan sport kate</t>
  </si>
  <si>
    <t>Fudokan sport kumite</t>
  </si>
  <si>
    <t>sve_ekipne</t>
  </si>
  <si>
    <t>Jiu ippon kumite tim</t>
  </si>
  <si>
    <t>Enbu</t>
  </si>
  <si>
    <t>Ko go kumite tim</t>
  </si>
  <si>
    <t>Kumite tim</t>
  </si>
  <si>
    <t>Fudokan sport kata tim</t>
  </si>
  <si>
    <t>Fudokan sport kumite tim</t>
  </si>
  <si>
    <t>sve_kilaze</t>
  </si>
  <si>
    <t>30</t>
  </si>
  <si>
    <t>40</t>
  </si>
  <si>
    <t>+40</t>
  </si>
  <si>
    <t>35</t>
  </si>
  <si>
    <t>+35</t>
  </si>
  <si>
    <t>45</t>
  </si>
  <si>
    <t>+45</t>
  </si>
  <si>
    <t>37</t>
  </si>
  <si>
    <t>42</t>
  </si>
  <si>
    <t>+42</t>
  </si>
  <si>
    <t>55</t>
  </si>
  <si>
    <t>+55</t>
  </si>
  <si>
    <t>53</t>
  </si>
  <si>
    <t>+53</t>
  </si>
  <si>
    <t>57</t>
  </si>
  <si>
    <t>70</t>
  </si>
  <si>
    <t>+70</t>
  </si>
  <si>
    <t>47</t>
  </si>
  <si>
    <t>54</t>
  </si>
  <si>
    <t>+54</t>
  </si>
  <si>
    <t>68</t>
  </si>
  <si>
    <t>76</t>
  </si>
  <si>
    <t>+76</t>
  </si>
  <si>
    <t>59</t>
  </si>
  <si>
    <t>+59</t>
  </si>
  <si>
    <t>75</t>
  </si>
  <si>
    <t>84</t>
  </si>
  <si>
    <t>+84</t>
  </si>
  <si>
    <t>61</t>
  </si>
  <si>
    <t>+68</t>
  </si>
  <si>
    <t>apsolutna</t>
  </si>
  <si>
    <t>disc_A</t>
  </si>
  <si>
    <t>tdisc_A</t>
  </si>
  <si>
    <t>kg_A_M</t>
  </si>
  <si>
    <t>kg_A_Z</t>
  </si>
  <si>
    <t>disc_B</t>
  </si>
  <si>
    <t>tdisc_B</t>
  </si>
  <si>
    <t>kg_B_M</t>
  </si>
  <si>
    <t>kg_B_Z</t>
  </si>
  <si>
    <t>disc_C</t>
  </si>
  <si>
    <t>tdisc_C</t>
  </si>
  <si>
    <t>kg_C_M</t>
  </si>
  <si>
    <t>kg_C_Z</t>
  </si>
  <si>
    <t>disc_D</t>
  </si>
  <si>
    <t>tdisc_D</t>
  </si>
  <si>
    <t>kg_D_M</t>
  </si>
  <si>
    <t>kg_D_Z</t>
  </si>
  <si>
    <t>disc_E</t>
  </si>
  <si>
    <t>tdisc_E</t>
  </si>
  <si>
    <t>kg_E_M</t>
  </si>
  <si>
    <t>kg_E_Z</t>
  </si>
  <si>
    <t>disc_F</t>
  </si>
  <si>
    <t>tdisc_F</t>
  </si>
  <si>
    <t>kg_F_M</t>
  </si>
  <si>
    <t>kg_F_Z</t>
  </si>
  <si>
    <t>disc_G</t>
  </si>
  <si>
    <t>tdisc_G</t>
  </si>
  <si>
    <t>kg_G_M</t>
  </si>
  <si>
    <t>kg_G_Z</t>
  </si>
  <si>
    <t>disc_H</t>
  </si>
  <si>
    <t>tdisc_H</t>
  </si>
  <si>
    <t>kg_H_M</t>
  </si>
  <si>
    <t>kg_H_Z</t>
  </si>
  <si>
    <t>disc_I</t>
  </si>
  <si>
    <t>tdisc_I</t>
  </si>
  <si>
    <t>kg_I_M</t>
  </si>
  <si>
    <t>kg_I_Z</t>
  </si>
  <si>
    <t>disc_J</t>
  </si>
  <si>
    <t>tdisc_J</t>
  </si>
  <si>
    <t>kg_J_M</t>
  </si>
  <si>
    <t>kg_J_Z</t>
  </si>
  <si>
    <t>ekipa</t>
  </si>
  <si>
    <t>min</t>
  </si>
  <si>
    <t>max</t>
  </si>
  <si>
    <t>vrste</t>
  </si>
  <si>
    <t>muškarci</t>
  </si>
  <si>
    <t>žene</t>
  </si>
  <si>
    <t>muški par</t>
  </si>
  <si>
    <t>mešoviti par</t>
  </si>
</sst>
</file>

<file path=xl/styles.xml><?xml version="1.0" encoding="utf-8"?>
<styleSheet xmlns="http://schemas.openxmlformats.org/spreadsheetml/2006/main">
  <fonts count="7">
    <font>
      <sz val="11"/>
      <color theme="1"/>
      <name val="Calibri"/>
      <family val="2"/>
      <scheme val="minor"/>
    </font>
    <font>
      <b/>
      <sz val="14"/>
      <color theme="1"/>
      <name val="Calibri"/>
      <family val="2"/>
      <scheme val="minor"/>
    </font>
    <font>
      <i/>
      <sz val="9"/>
      <color rgb="FF6B6B70"/>
      <name val="Calibri"/>
      <family val="2"/>
      <scheme val="minor"/>
    </font>
    <font>
      <b/>
      <sz val="10"/>
      <color theme="1"/>
      <name val="Calibri"/>
      <family val="2"/>
      <scheme val="minor"/>
    </font>
    <font>
      <sz val="10"/>
      <color theme="1"/>
      <name val="Calibri"/>
      <family val="2"/>
      <scheme val="minor"/>
    </font>
    <font>
      <b/>
      <sz val="9"/>
      <color rgb="FFFFFFFF"/>
      <name val="Calibri"/>
      <family val="2"/>
      <scheme val="minor"/>
    </font>
    <font>
      <sz val="9"/>
      <color theme="1"/>
      <name val="Calibri"/>
      <family val="2"/>
      <scheme val="minor"/>
    </font>
  </fonts>
  <fills count="4">
    <fill>
      <patternFill patternType="none"/>
    </fill>
    <fill>
      <patternFill patternType="gray125"/>
    </fill>
    <fill>
      <patternFill patternType="solid">
        <fgColor rgb="FF5980A6"/>
        <bgColor indexed="64"/>
      </patternFill>
    </fill>
    <fill>
      <patternFill patternType="solid">
        <fgColor rgb="FFEEF6FF"/>
        <bgColor indexed="64"/>
      </patternFill>
    </fill>
  </fills>
  <borders count="2">
    <border>
      <left/>
      <right/>
      <top/>
      <bottom/>
      <diagonal/>
    </border>
    <border>
      <left style="thin">
        <color rgb="FFD4D4D7"/>
      </left>
      <right style="thin">
        <color rgb="FFD4D4D7"/>
      </right>
      <top style="thin">
        <color rgb="FFD4D4D7"/>
      </top>
      <bottom style="thin">
        <color rgb="FFD4D4D7"/>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2" fillId="0" borderId="0" xfId="0" applyFont="1" applyAlignment="1">
      <alignment vertical="top" wrapText="1"/>
    </xf>
    <xf numFmtId="0" fontId="3" fillId="0" borderId="0" xfId="0" applyFont="1"/>
    <xf numFmtId="0" fontId="4" fillId="0" borderId="1" xfId="0" applyFont="1" applyBorder="1" applyProtection="1">
      <protection locked="0"/>
    </xf>
    <xf numFmtId="0" fontId="5" fillId="2" borderId="1" xfId="0" applyFont="1" applyFill="1" applyBorder="1" applyAlignment="1">
      <alignment horizontal="center" vertical="center" wrapText="1"/>
    </xf>
    <xf numFmtId="0" fontId="4" fillId="3" borderId="1" xfId="0" applyFont="1" applyFill="1" applyBorder="1" applyAlignment="1">
      <alignment horizontal="center"/>
    </xf>
    <xf numFmtId="0" fontId="6" fillId="0" borderId="1"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R130"/>
  <sheetViews>
    <sheetView tabSelected="1" workbookViewId="0">
      <pane ySplit="10" topLeftCell="A11" activePane="bottomLeft" state="frozen"/>
      <selection pane="bottomLeft"/>
    </sheetView>
  </sheetViews>
  <sheetFormatPr defaultRowHeight="15"/>
  <cols>
    <col min="1" max="1" width="10.7109375" customWidth="1"/>
    <col min="2" max="2" width="26.7109375" customWidth="1"/>
    <col min="3" max="3" width="10.7109375" customWidth="1"/>
    <col min="4" max="4" width="11.7109375" customWidth="1"/>
    <col min="5" max="5" width="8.7109375" customWidth="1"/>
    <col min="6" max="6" width="16.7109375" customWidth="1"/>
    <col min="7" max="14" width="20.7109375" customWidth="1"/>
    <col min="15" max="15" width="12.7109375" customWidth="1"/>
    <col min="16" max="16" width="34.7109375" customWidth="1"/>
    <col min="17" max="18" width="14.7109375" hidden="1" customWidth="1"/>
  </cols>
  <sheetData>
    <row r="1" spans="1:18">
      <c r="A1" s="1" t="s">
        <v>0</v>
      </c>
    </row>
    <row r="2" spans="1:18">
      <c r="A2" s="2" t="s">
        <v>1</v>
      </c>
    </row>
    <row r="3" spans="1:18" ht="28" customHeight="1">
      <c r="A3" s="3" t="s">
        <v>2</v>
      </c>
      <c r="B3" s="3"/>
      <c r="C3" s="3"/>
      <c r="D3" s="3"/>
      <c r="E3" s="3"/>
      <c r="F3" s="3"/>
      <c r="G3" s="3"/>
      <c r="H3" s="3"/>
      <c r="I3" s="3"/>
      <c r="J3" s="3"/>
      <c r="K3" s="3"/>
      <c r="L3" s="3"/>
      <c r="M3" s="3"/>
      <c r="N3" s="3"/>
      <c r="O3" s="3"/>
      <c r="P3" s="3"/>
    </row>
    <row r="4" spans="1:18">
      <c r="A4" s="4" t="s">
        <v>3</v>
      </c>
      <c r="B4" s="5"/>
      <c r="D4" s="2" t="s">
        <v>4</v>
      </c>
    </row>
    <row r="5" spans="1:18">
      <c r="A5" s="4" t="s">
        <v>5</v>
      </c>
      <c r="B5" s="5"/>
    </row>
    <row r="6" spans="1:18">
      <c r="A6" s="4" t="s">
        <v>6</v>
      </c>
      <c r="B6" s="5"/>
    </row>
    <row r="7" spans="1:18">
      <c r="A7" s="4" t="s">
        <v>7</v>
      </c>
      <c r="B7" s="5"/>
      <c r="D7" s="2" t="s">
        <v>8</v>
      </c>
    </row>
    <row r="10" spans="1:18" ht="30" customHeight="1">
      <c r="A10" s="6" t="s">
        <v>9</v>
      </c>
      <c r="B10" s="6" t="s">
        <v>10</v>
      </c>
      <c r="C10" s="6" t="s">
        <v>11</v>
      </c>
      <c r="D10" s="6" t="s">
        <v>12</v>
      </c>
      <c r="E10" s="6" t="s">
        <v>13</v>
      </c>
      <c r="F10" s="6" t="s">
        <v>14</v>
      </c>
      <c r="G10" s="6" t="s">
        <v>15</v>
      </c>
      <c r="H10" s="6" t="s">
        <v>16</v>
      </c>
      <c r="I10" s="6" t="s">
        <v>17</v>
      </c>
      <c r="J10" s="6" t="s">
        <v>18</v>
      </c>
      <c r="K10" s="6" t="s">
        <v>19</v>
      </c>
      <c r="L10" s="6" t="s">
        <v>20</v>
      </c>
      <c r="M10" s="6" t="s">
        <v>21</v>
      </c>
      <c r="N10" s="6" t="s">
        <v>22</v>
      </c>
      <c r="O10" s="6" t="s">
        <v>23</v>
      </c>
      <c r="P10" s="6" t="s">
        <v>24</v>
      </c>
    </row>
    <row r="11" spans="1:18">
      <c r="A11" s="5"/>
      <c r="B11" s="5"/>
      <c r="C11" s="5"/>
      <c r="D11" s="5"/>
      <c r="E11" s="7">
        <f>IF($A11="","",LOOKUP($A11,INDEX(grupe,0,1),INDEX(grupe,0,2)))</f>
        <v/>
      </c>
      <c r="F11" s="7">
        <f>IF($E11="","",VLOOKUP($E11,INDEX(grupe,0,2):INDEX(grupe,0,3),2,FALSE))</f>
        <v/>
      </c>
      <c r="G11" s="5"/>
      <c r="H11" s="5"/>
      <c r="I11" s="5"/>
      <c r="J11" s="5"/>
      <c r="K11" s="5"/>
      <c r="L11" s="5"/>
      <c r="M11" s="5"/>
      <c r="N11" s="5"/>
      <c r="O11" s="5"/>
      <c r="P11" s="8">
        <f>IF(COUNTA($A11:$D11,G11:N11)=0,"",IF($A11="","Nedostaje godište",IF($E11="","Godište nije obuhvaćeno uzrasnom tabelom",IF($B11="","Nedostaje ime i prezime",IF(NOT(SUMPRODUCT(--ISERROR(FIND(MID($B11&amp;REPT("a",60),ROW($A$1:$A$60),1),"ABCDEFGHIJKLMNOPQRSTUVWXYZabcdefghijklmnopqrstuvwxyzČĆĐŠŽčćđšž -'")))=0),"Ime sadrži znakove koji nisu slova",IF($C11="","Nedostaje pol",IF($D11="","Nedostaje pojas",IF(COUNTA(G11:N11)=0,"Nije izabrana nijedna disciplina",IF(SUMPRODUCT(--(G11:N11&lt;&gt;""),--(COUNTIF(INDIRECT("disc_"&amp;$E11),G11:N11)=0))&gt;0,"Izabrana disciplina nije moguća za uzrast "&amp;$E11,IF(AND(COUNTIF(G11:N11,"Fudokan sport kumite")&gt;0,O11=""),"Nedostaje telesna težina za Fudokan sport kumite",IF(AND(COUNTIF(G11:N11,"Fudokan sport kumite")=0,O11&lt;&gt;""),"Telesna težina se unosi isključivo uz Fudokan sport kumite","prijava je kompletna")))))))))))</f>
        <v/>
      </c>
      <c r="Q11">
        <f>IF($E11="","sve_discipline","disc_"&amp;$E11)</f>
        <v/>
      </c>
      <c r="R11">
        <f>IF(OR($E11="",$C11=""),"sve_kilaze","kg_"&amp;$E11&amp;"_"&amp;IF($C11="ženski","Z","M"))</f>
        <v/>
      </c>
    </row>
    <row r="12" spans="1:18">
      <c r="A12" s="5"/>
      <c r="B12" s="5"/>
      <c r="C12" s="5"/>
      <c r="D12" s="5"/>
      <c r="E12" s="7">
        <f>IF($A12="","",LOOKUP($A12,INDEX(grupe,0,1),INDEX(grupe,0,2)))</f>
        <v/>
      </c>
      <c r="F12" s="7">
        <f>IF($E12="","",VLOOKUP($E12,INDEX(grupe,0,2):INDEX(grupe,0,3),2,FALSE))</f>
        <v/>
      </c>
      <c r="G12" s="5"/>
      <c r="H12" s="5"/>
      <c r="I12" s="5"/>
      <c r="J12" s="5"/>
      <c r="K12" s="5"/>
      <c r="L12" s="5"/>
      <c r="M12" s="5"/>
      <c r="N12" s="5"/>
      <c r="O12" s="5"/>
      <c r="P12" s="8">
        <f>IF(COUNTA($A12:$D12,G12:N12)=0,"",IF($A12="","Nedostaje godište",IF($E12="","Godište nije obuhvaćeno uzrasnom tabelom",IF($B12="","Nedostaje ime i prezime",IF(NOT(SUMPRODUCT(--ISERROR(FIND(MID($B12&amp;REPT("a",60),ROW($A$1:$A$60),1),"ABCDEFGHIJKLMNOPQRSTUVWXYZabcdefghijklmnopqrstuvwxyzČĆĐŠŽčćđšž -'")))=0),"Ime sadrži znakove koji nisu slova",IF($C12="","Nedostaje pol",IF($D12="","Nedostaje pojas",IF(COUNTA(G12:N12)=0,"Nije izabrana nijedna disciplina",IF(SUMPRODUCT(--(G12:N12&lt;&gt;""),--(COUNTIF(INDIRECT("disc_"&amp;$E12),G12:N12)=0))&gt;0,"Izabrana disciplina nije moguća za uzrast "&amp;$E12,IF(AND(COUNTIF(G12:N12,"Fudokan sport kumite")&gt;0,O12=""),"Nedostaje telesna težina za Fudokan sport kumite",IF(AND(COUNTIF(G12:N12,"Fudokan sport kumite")=0,O12&lt;&gt;""),"Telesna težina se unosi isključivo uz Fudokan sport kumite","prijava je kompletna")))))))))))</f>
        <v/>
      </c>
      <c r="Q12">
        <f>IF($E12="","sve_discipline","disc_"&amp;$E12)</f>
        <v/>
      </c>
      <c r="R12">
        <f>IF(OR($E12="",$C12=""),"sve_kilaze","kg_"&amp;$E12&amp;"_"&amp;IF($C12="ženski","Z","M"))</f>
        <v/>
      </c>
    </row>
    <row r="13" spans="1:18">
      <c r="A13" s="5"/>
      <c r="B13" s="5"/>
      <c r="C13" s="5"/>
      <c r="D13" s="5"/>
      <c r="E13" s="7">
        <f>IF($A13="","",LOOKUP($A13,INDEX(grupe,0,1),INDEX(grupe,0,2)))</f>
        <v/>
      </c>
      <c r="F13" s="7">
        <f>IF($E13="","",VLOOKUP($E13,INDEX(grupe,0,2):INDEX(grupe,0,3),2,FALSE))</f>
        <v/>
      </c>
      <c r="G13" s="5"/>
      <c r="H13" s="5"/>
      <c r="I13" s="5"/>
      <c r="J13" s="5"/>
      <c r="K13" s="5"/>
      <c r="L13" s="5"/>
      <c r="M13" s="5"/>
      <c r="N13" s="5"/>
      <c r="O13" s="5"/>
      <c r="P13" s="8">
        <f>IF(COUNTA($A13:$D13,G13:N13)=0,"",IF($A13="","Nedostaje godište",IF($E13="","Godište nije obuhvaćeno uzrasnom tabelom",IF($B13="","Nedostaje ime i prezime",IF(NOT(SUMPRODUCT(--ISERROR(FIND(MID($B13&amp;REPT("a",60),ROW($A$1:$A$60),1),"ABCDEFGHIJKLMNOPQRSTUVWXYZabcdefghijklmnopqrstuvwxyzČĆĐŠŽčćđšž -'")))=0),"Ime sadrži znakove koji nisu slova",IF($C13="","Nedostaje pol",IF($D13="","Nedostaje pojas",IF(COUNTA(G13:N13)=0,"Nije izabrana nijedna disciplina",IF(SUMPRODUCT(--(G13:N13&lt;&gt;""),--(COUNTIF(INDIRECT("disc_"&amp;$E13),G13:N13)=0))&gt;0,"Izabrana disciplina nije moguća za uzrast "&amp;$E13,IF(AND(COUNTIF(G13:N13,"Fudokan sport kumite")&gt;0,O13=""),"Nedostaje telesna težina za Fudokan sport kumite",IF(AND(COUNTIF(G13:N13,"Fudokan sport kumite")=0,O13&lt;&gt;""),"Telesna težina se unosi isključivo uz Fudokan sport kumite","prijava je kompletna")))))))))))</f>
        <v/>
      </c>
      <c r="Q13">
        <f>IF($E13="","sve_discipline","disc_"&amp;$E13)</f>
        <v/>
      </c>
      <c r="R13">
        <f>IF(OR($E13="",$C13=""),"sve_kilaze","kg_"&amp;$E13&amp;"_"&amp;IF($C13="ženski","Z","M"))</f>
        <v/>
      </c>
    </row>
    <row r="14" spans="1:18">
      <c r="A14" s="5"/>
      <c r="B14" s="5"/>
      <c r="C14" s="5"/>
      <c r="D14" s="5"/>
      <c r="E14" s="7">
        <f>IF($A14="","",LOOKUP($A14,INDEX(grupe,0,1),INDEX(grupe,0,2)))</f>
        <v/>
      </c>
      <c r="F14" s="7">
        <f>IF($E14="","",VLOOKUP($E14,INDEX(grupe,0,2):INDEX(grupe,0,3),2,FALSE))</f>
        <v/>
      </c>
      <c r="G14" s="5"/>
      <c r="H14" s="5"/>
      <c r="I14" s="5"/>
      <c r="J14" s="5"/>
      <c r="K14" s="5"/>
      <c r="L14" s="5"/>
      <c r="M14" s="5"/>
      <c r="N14" s="5"/>
      <c r="O14" s="5"/>
      <c r="P14" s="8">
        <f>IF(COUNTA($A14:$D14,G14:N14)=0,"",IF($A14="","Nedostaje godište",IF($E14="","Godište nije obuhvaćeno uzrasnom tabelom",IF($B14="","Nedostaje ime i prezime",IF(NOT(SUMPRODUCT(--ISERROR(FIND(MID($B14&amp;REPT("a",60),ROW($A$1:$A$60),1),"ABCDEFGHIJKLMNOPQRSTUVWXYZabcdefghijklmnopqrstuvwxyzČĆĐŠŽčćđšž -'")))=0),"Ime sadrži znakove koji nisu slova",IF($C14="","Nedostaje pol",IF($D14="","Nedostaje pojas",IF(COUNTA(G14:N14)=0,"Nije izabrana nijedna disciplina",IF(SUMPRODUCT(--(G14:N14&lt;&gt;""),--(COUNTIF(INDIRECT("disc_"&amp;$E14),G14:N14)=0))&gt;0,"Izabrana disciplina nije moguća za uzrast "&amp;$E14,IF(AND(COUNTIF(G14:N14,"Fudokan sport kumite")&gt;0,O14=""),"Nedostaje telesna težina za Fudokan sport kumite",IF(AND(COUNTIF(G14:N14,"Fudokan sport kumite")=0,O14&lt;&gt;""),"Telesna težina se unosi isključivo uz Fudokan sport kumite","prijava je kompletna")))))))))))</f>
        <v/>
      </c>
      <c r="Q14">
        <f>IF($E14="","sve_discipline","disc_"&amp;$E14)</f>
        <v/>
      </c>
      <c r="R14">
        <f>IF(OR($E14="",$C14=""),"sve_kilaze","kg_"&amp;$E14&amp;"_"&amp;IF($C14="ženski","Z","M"))</f>
        <v/>
      </c>
    </row>
    <row r="15" spans="1:18">
      <c r="A15" s="5"/>
      <c r="B15" s="5"/>
      <c r="C15" s="5"/>
      <c r="D15" s="5"/>
      <c r="E15" s="7">
        <f>IF($A15="","",LOOKUP($A15,INDEX(grupe,0,1),INDEX(grupe,0,2)))</f>
        <v/>
      </c>
      <c r="F15" s="7">
        <f>IF($E15="","",VLOOKUP($E15,INDEX(grupe,0,2):INDEX(grupe,0,3),2,FALSE))</f>
        <v/>
      </c>
      <c r="G15" s="5"/>
      <c r="H15" s="5"/>
      <c r="I15" s="5"/>
      <c r="J15" s="5"/>
      <c r="K15" s="5"/>
      <c r="L15" s="5"/>
      <c r="M15" s="5"/>
      <c r="N15" s="5"/>
      <c r="O15" s="5"/>
      <c r="P15" s="8">
        <f>IF(COUNTA($A15:$D15,G15:N15)=0,"",IF($A15="","Nedostaje godište",IF($E15="","Godište nije obuhvaćeno uzrasnom tabelom",IF($B15="","Nedostaje ime i prezime",IF(NOT(SUMPRODUCT(--ISERROR(FIND(MID($B15&amp;REPT("a",60),ROW($A$1:$A$60),1),"ABCDEFGHIJKLMNOPQRSTUVWXYZabcdefghijklmnopqrstuvwxyzČĆĐŠŽčćđšž -'")))=0),"Ime sadrži znakove koji nisu slova",IF($C15="","Nedostaje pol",IF($D15="","Nedostaje pojas",IF(COUNTA(G15:N15)=0,"Nije izabrana nijedna disciplina",IF(SUMPRODUCT(--(G15:N15&lt;&gt;""),--(COUNTIF(INDIRECT("disc_"&amp;$E15),G15:N15)=0))&gt;0,"Izabrana disciplina nije moguća za uzrast "&amp;$E15,IF(AND(COUNTIF(G15:N15,"Fudokan sport kumite")&gt;0,O15=""),"Nedostaje telesna težina za Fudokan sport kumite",IF(AND(COUNTIF(G15:N15,"Fudokan sport kumite")=0,O15&lt;&gt;""),"Telesna težina se unosi isključivo uz Fudokan sport kumite","prijava je kompletna")))))))))))</f>
        <v/>
      </c>
      <c r="Q15">
        <f>IF($E15="","sve_discipline","disc_"&amp;$E15)</f>
        <v/>
      </c>
      <c r="R15">
        <f>IF(OR($E15="",$C15=""),"sve_kilaze","kg_"&amp;$E15&amp;"_"&amp;IF($C15="ženski","Z","M"))</f>
        <v/>
      </c>
    </row>
    <row r="16" spans="1:18">
      <c r="A16" s="5"/>
      <c r="B16" s="5"/>
      <c r="C16" s="5"/>
      <c r="D16" s="5"/>
      <c r="E16" s="7">
        <f>IF($A16="","",LOOKUP($A16,INDEX(grupe,0,1),INDEX(grupe,0,2)))</f>
        <v/>
      </c>
      <c r="F16" s="7">
        <f>IF($E16="","",VLOOKUP($E16,INDEX(grupe,0,2):INDEX(grupe,0,3),2,FALSE))</f>
        <v/>
      </c>
      <c r="G16" s="5"/>
      <c r="H16" s="5"/>
      <c r="I16" s="5"/>
      <c r="J16" s="5"/>
      <c r="K16" s="5"/>
      <c r="L16" s="5"/>
      <c r="M16" s="5"/>
      <c r="N16" s="5"/>
      <c r="O16" s="5"/>
      <c r="P16" s="8">
        <f>IF(COUNTA($A16:$D16,G16:N16)=0,"",IF($A16="","Nedostaje godište",IF($E16="","Godište nije obuhvaćeno uzrasnom tabelom",IF($B16="","Nedostaje ime i prezime",IF(NOT(SUMPRODUCT(--ISERROR(FIND(MID($B16&amp;REPT("a",60),ROW($A$1:$A$60),1),"ABCDEFGHIJKLMNOPQRSTUVWXYZabcdefghijklmnopqrstuvwxyzČĆĐŠŽčćđšž -'")))=0),"Ime sadrži znakove koji nisu slova",IF($C16="","Nedostaje pol",IF($D16="","Nedostaje pojas",IF(COUNTA(G16:N16)=0,"Nije izabrana nijedna disciplina",IF(SUMPRODUCT(--(G16:N16&lt;&gt;""),--(COUNTIF(INDIRECT("disc_"&amp;$E16),G16:N16)=0))&gt;0,"Izabrana disciplina nije moguća za uzrast "&amp;$E16,IF(AND(COUNTIF(G16:N16,"Fudokan sport kumite")&gt;0,O16=""),"Nedostaje telesna težina za Fudokan sport kumite",IF(AND(COUNTIF(G16:N16,"Fudokan sport kumite")=0,O16&lt;&gt;""),"Telesna težina se unosi isključivo uz Fudokan sport kumite","prijava je kompletna")))))))))))</f>
        <v/>
      </c>
      <c r="Q16">
        <f>IF($E16="","sve_discipline","disc_"&amp;$E16)</f>
        <v/>
      </c>
      <c r="R16">
        <f>IF(OR($E16="",$C16=""),"sve_kilaze","kg_"&amp;$E16&amp;"_"&amp;IF($C16="ženski","Z","M"))</f>
        <v/>
      </c>
    </row>
    <row r="17" spans="1:18">
      <c r="A17" s="5"/>
      <c r="B17" s="5"/>
      <c r="C17" s="5"/>
      <c r="D17" s="5"/>
      <c r="E17" s="7">
        <f>IF($A17="","",LOOKUP($A17,INDEX(grupe,0,1),INDEX(grupe,0,2)))</f>
        <v/>
      </c>
      <c r="F17" s="7">
        <f>IF($E17="","",VLOOKUP($E17,INDEX(grupe,0,2):INDEX(grupe,0,3),2,FALSE))</f>
        <v/>
      </c>
      <c r="G17" s="5"/>
      <c r="H17" s="5"/>
      <c r="I17" s="5"/>
      <c r="J17" s="5"/>
      <c r="K17" s="5"/>
      <c r="L17" s="5"/>
      <c r="M17" s="5"/>
      <c r="N17" s="5"/>
      <c r="O17" s="5"/>
      <c r="P17" s="8">
        <f>IF(COUNTA($A17:$D17,G17:N17)=0,"",IF($A17="","Nedostaje godište",IF($E17="","Godište nije obuhvaćeno uzrasnom tabelom",IF($B17="","Nedostaje ime i prezime",IF(NOT(SUMPRODUCT(--ISERROR(FIND(MID($B17&amp;REPT("a",60),ROW($A$1:$A$60),1),"ABCDEFGHIJKLMNOPQRSTUVWXYZabcdefghijklmnopqrstuvwxyzČĆĐŠŽčćđšž -'")))=0),"Ime sadrži znakove koji nisu slova",IF($C17="","Nedostaje pol",IF($D17="","Nedostaje pojas",IF(COUNTA(G17:N17)=0,"Nije izabrana nijedna disciplina",IF(SUMPRODUCT(--(G17:N17&lt;&gt;""),--(COUNTIF(INDIRECT("disc_"&amp;$E17),G17:N17)=0))&gt;0,"Izabrana disciplina nije moguća za uzrast "&amp;$E17,IF(AND(COUNTIF(G17:N17,"Fudokan sport kumite")&gt;0,O17=""),"Nedostaje telesna težina za Fudokan sport kumite",IF(AND(COUNTIF(G17:N17,"Fudokan sport kumite")=0,O17&lt;&gt;""),"Telesna težina se unosi isključivo uz Fudokan sport kumite","prijava je kompletna")))))))))))</f>
        <v/>
      </c>
      <c r="Q17">
        <f>IF($E17="","sve_discipline","disc_"&amp;$E17)</f>
        <v/>
      </c>
      <c r="R17">
        <f>IF(OR($E17="",$C17=""),"sve_kilaze","kg_"&amp;$E17&amp;"_"&amp;IF($C17="ženski","Z","M"))</f>
        <v/>
      </c>
    </row>
    <row r="18" spans="1:18">
      <c r="A18" s="5"/>
      <c r="B18" s="5"/>
      <c r="C18" s="5"/>
      <c r="D18" s="5"/>
      <c r="E18" s="7">
        <f>IF($A18="","",LOOKUP($A18,INDEX(grupe,0,1),INDEX(grupe,0,2)))</f>
        <v/>
      </c>
      <c r="F18" s="7">
        <f>IF($E18="","",VLOOKUP($E18,INDEX(grupe,0,2):INDEX(grupe,0,3),2,FALSE))</f>
        <v/>
      </c>
      <c r="G18" s="5"/>
      <c r="H18" s="5"/>
      <c r="I18" s="5"/>
      <c r="J18" s="5"/>
      <c r="K18" s="5"/>
      <c r="L18" s="5"/>
      <c r="M18" s="5"/>
      <c r="N18" s="5"/>
      <c r="O18" s="5"/>
      <c r="P18" s="8">
        <f>IF(COUNTA($A18:$D18,G18:N18)=0,"",IF($A18="","Nedostaje godište",IF($E18="","Godište nije obuhvaćeno uzrasnom tabelom",IF($B18="","Nedostaje ime i prezime",IF(NOT(SUMPRODUCT(--ISERROR(FIND(MID($B18&amp;REPT("a",60),ROW($A$1:$A$60),1),"ABCDEFGHIJKLMNOPQRSTUVWXYZabcdefghijklmnopqrstuvwxyzČĆĐŠŽčćđšž -'")))=0),"Ime sadrži znakove koji nisu slova",IF($C18="","Nedostaje pol",IF($D18="","Nedostaje pojas",IF(COUNTA(G18:N18)=0,"Nije izabrana nijedna disciplina",IF(SUMPRODUCT(--(G18:N18&lt;&gt;""),--(COUNTIF(INDIRECT("disc_"&amp;$E18),G18:N18)=0))&gt;0,"Izabrana disciplina nije moguća za uzrast "&amp;$E18,IF(AND(COUNTIF(G18:N18,"Fudokan sport kumite")&gt;0,O18=""),"Nedostaje telesna težina za Fudokan sport kumite",IF(AND(COUNTIF(G18:N18,"Fudokan sport kumite")=0,O18&lt;&gt;""),"Telesna težina se unosi isključivo uz Fudokan sport kumite","prijava je kompletna")))))))))))</f>
        <v/>
      </c>
      <c r="Q18">
        <f>IF($E18="","sve_discipline","disc_"&amp;$E18)</f>
        <v/>
      </c>
      <c r="R18">
        <f>IF(OR($E18="",$C18=""),"sve_kilaze","kg_"&amp;$E18&amp;"_"&amp;IF($C18="ženski","Z","M"))</f>
        <v/>
      </c>
    </row>
    <row r="19" spans="1:18">
      <c r="A19" s="5"/>
      <c r="B19" s="5"/>
      <c r="C19" s="5"/>
      <c r="D19" s="5"/>
      <c r="E19" s="7">
        <f>IF($A19="","",LOOKUP($A19,INDEX(grupe,0,1),INDEX(grupe,0,2)))</f>
        <v/>
      </c>
      <c r="F19" s="7">
        <f>IF($E19="","",VLOOKUP($E19,INDEX(grupe,0,2):INDEX(grupe,0,3),2,FALSE))</f>
        <v/>
      </c>
      <c r="G19" s="5"/>
      <c r="H19" s="5"/>
      <c r="I19" s="5"/>
      <c r="J19" s="5"/>
      <c r="K19" s="5"/>
      <c r="L19" s="5"/>
      <c r="M19" s="5"/>
      <c r="N19" s="5"/>
      <c r="O19" s="5"/>
      <c r="P19" s="8">
        <f>IF(COUNTA($A19:$D19,G19:N19)=0,"",IF($A19="","Nedostaje godište",IF($E19="","Godište nije obuhvaćeno uzrasnom tabelom",IF($B19="","Nedostaje ime i prezime",IF(NOT(SUMPRODUCT(--ISERROR(FIND(MID($B19&amp;REPT("a",60),ROW($A$1:$A$60),1),"ABCDEFGHIJKLMNOPQRSTUVWXYZabcdefghijklmnopqrstuvwxyzČĆĐŠŽčćđšž -'")))=0),"Ime sadrži znakove koji nisu slova",IF($C19="","Nedostaje pol",IF($D19="","Nedostaje pojas",IF(COUNTA(G19:N19)=0,"Nije izabrana nijedna disciplina",IF(SUMPRODUCT(--(G19:N19&lt;&gt;""),--(COUNTIF(INDIRECT("disc_"&amp;$E19),G19:N19)=0))&gt;0,"Izabrana disciplina nije moguća za uzrast "&amp;$E19,IF(AND(COUNTIF(G19:N19,"Fudokan sport kumite")&gt;0,O19=""),"Nedostaje telesna težina za Fudokan sport kumite",IF(AND(COUNTIF(G19:N19,"Fudokan sport kumite")=0,O19&lt;&gt;""),"Telesna težina se unosi isključivo uz Fudokan sport kumite","prijava je kompletna")))))))))))</f>
        <v/>
      </c>
      <c r="Q19">
        <f>IF($E19="","sve_discipline","disc_"&amp;$E19)</f>
        <v/>
      </c>
      <c r="R19">
        <f>IF(OR($E19="",$C19=""),"sve_kilaze","kg_"&amp;$E19&amp;"_"&amp;IF($C19="ženski","Z","M"))</f>
        <v/>
      </c>
    </row>
    <row r="20" spans="1:18">
      <c r="A20" s="5"/>
      <c r="B20" s="5"/>
      <c r="C20" s="5"/>
      <c r="D20" s="5"/>
      <c r="E20" s="7">
        <f>IF($A20="","",LOOKUP($A20,INDEX(grupe,0,1),INDEX(grupe,0,2)))</f>
        <v/>
      </c>
      <c r="F20" s="7">
        <f>IF($E20="","",VLOOKUP($E20,INDEX(grupe,0,2):INDEX(grupe,0,3),2,FALSE))</f>
        <v/>
      </c>
      <c r="G20" s="5"/>
      <c r="H20" s="5"/>
      <c r="I20" s="5"/>
      <c r="J20" s="5"/>
      <c r="K20" s="5"/>
      <c r="L20" s="5"/>
      <c r="M20" s="5"/>
      <c r="N20" s="5"/>
      <c r="O20" s="5"/>
      <c r="P20" s="8">
        <f>IF(COUNTA($A20:$D20,G20:N20)=0,"",IF($A20="","Nedostaje godište",IF($E20="","Godište nije obuhvaćeno uzrasnom tabelom",IF($B20="","Nedostaje ime i prezime",IF(NOT(SUMPRODUCT(--ISERROR(FIND(MID($B20&amp;REPT("a",60),ROW($A$1:$A$60),1),"ABCDEFGHIJKLMNOPQRSTUVWXYZabcdefghijklmnopqrstuvwxyzČĆĐŠŽčćđšž -'")))=0),"Ime sadrži znakove koji nisu slova",IF($C20="","Nedostaje pol",IF($D20="","Nedostaje pojas",IF(COUNTA(G20:N20)=0,"Nije izabrana nijedna disciplina",IF(SUMPRODUCT(--(G20:N20&lt;&gt;""),--(COUNTIF(INDIRECT("disc_"&amp;$E20),G20:N20)=0))&gt;0,"Izabrana disciplina nije moguća za uzrast "&amp;$E20,IF(AND(COUNTIF(G20:N20,"Fudokan sport kumite")&gt;0,O20=""),"Nedostaje telesna težina za Fudokan sport kumite",IF(AND(COUNTIF(G20:N20,"Fudokan sport kumite")=0,O20&lt;&gt;""),"Telesna težina se unosi isključivo uz Fudokan sport kumite","prijava je kompletna")))))))))))</f>
        <v/>
      </c>
      <c r="Q20">
        <f>IF($E20="","sve_discipline","disc_"&amp;$E20)</f>
        <v/>
      </c>
      <c r="R20">
        <f>IF(OR($E20="",$C20=""),"sve_kilaze","kg_"&amp;$E20&amp;"_"&amp;IF($C20="ženski","Z","M"))</f>
        <v/>
      </c>
    </row>
    <row r="21" spans="1:18">
      <c r="A21" s="5"/>
      <c r="B21" s="5"/>
      <c r="C21" s="5"/>
      <c r="D21" s="5"/>
      <c r="E21" s="7">
        <f>IF($A21="","",LOOKUP($A21,INDEX(grupe,0,1),INDEX(grupe,0,2)))</f>
        <v/>
      </c>
      <c r="F21" s="7">
        <f>IF($E21="","",VLOOKUP($E21,INDEX(grupe,0,2):INDEX(grupe,0,3),2,FALSE))</f>
        <v/>
      </c>
      <c r="G21" s="5"/>
      <c r="H21" s="5"/>
      <c r="I21" s="5"/>
      <c r="J21" s="5"/>
      <c r="K21" s="5"/>
      <c r="L21" s="5"/>
      <c r="M21" s="5"/>
      <c r="N21" s="5"/>
      <c r="O21" s="5"/>
      <c r="P21" s="8">
        <f>IF(COUNTA($A21:$D21,G21:N21)=0,"",IF($A21="","Nedostaje godište",IF($E21="","Godište nije obuhvaćeno uzrasnom tabelom",IF($B21="","Nedostaje ime i prezime",IF(NOT(SUMPRODUCT(--ISERROR(FIND(MID($B21&amp;REPT("a",60),ROW($A$1:$A$60),1),"ABCDEFGHIJKLMNOPQRSTUVWXYZabcdefghijklmnopqrstuvwxyzČĆĐŠŽčćđšž -'")))=0),"Ime sadrži znakove koji nisu slova",IF($C21="","Nedostaje pol",IF($D21="","Nedostaje pojas",IF(COUNTA(G21:N21)=0,"Nije izabrana nijedna disciplina",IF(SUMPRODUCT(--(G21:N21&lt;&gt;""),--(COUNTIF(INDIRECT("disc_"&amp;$E21),G21:N21)=0))&gt;0,"Izabrana disciplina nije moguća za uzrast "&amp;$E21,IF(AND(COUNTIF(G21:N21,"Fudokan sport kumite")&gt;0,O21=""),"Nedostaje telesna težina za Fudokan sport kumite",IF(AND(COUNTIF(G21:N21,"Fudokan sport kumite")=0,O21&lt;&gt;""),"Telesna težina se unosi isključivo uz Fudokan sport kumite","prijava je kompletna")))))))))))</f>
        <v/>
      </c>
      <c r="Q21">
        <f>IF($E21="","sve_discipline","disc_"&amp;$E21)</f>
        <v/>
      </c>
      <c r="R21">
        <f>IF(OR($E21="",$C21=""),"sve_kilaze","kg_"&amp;$E21&amp;"_"&amp;IF($C21="ženski","Z","M"))</f>
        <v/>
      </c>
    </row>
    <row r="22" spans="1:18">
      <c r="A22" s="5"/>
      <c r="B22" s="5"/>
      <c r="C22" s="5"/>
      <c r="D22" s="5"/>
      <c r="E22" s="7">
        <f>IF($A22="","",LOOKUP($A22,INDEX(grupe,0,1),INDEX(grupe,0,2)))</f>
        <v/>
      </c>
      <c r="F22" s="7">
        <f>IF($E22="","",VLOOKUP($E22,INDEX(grupe,0,2):INDEX(grupe,0,3),2,FALSE))</f>
        <v/>
      </c>
      <c r="G22" s="5"/>
      <c r="H22" s="5"/>
      <c r="I22" s="5"/>
      <c r="J22" s="5"/>
      <c r="K22" s="5"/>
      <c r="L22" s="5"/>
      <c r="M22" s="5"/>
      <c r="N22" s="5"/>
      <c r="O22" s="5"/>
      <c r="P22" s="8">
        <f>IF(COUNTA($A22:$D22,G22:N22)=0,"",IF($A22="","Nedostaje godište",IF($E22="","Godište nije obuhvaćeno uzrasnom tabelom",IF($B22="","Nedostaje ime i prezime",IF(NOT(SUMPRODUCT(--ISERROR(FIND(MID($B22&amp;REPT("a",60),ROW($A$1:$A$60),1),"ABCDEFGHIJKLMNOPQRSTUVWXYZabcdefghijklmnopqrstuvwxyzČĆĐŠŽčćđšž -'")))=0),"Ime sadrži znakove koji nisu slova",IF($C22="","Nedostaje pol",IF($D22="","Nedostaje pojas",IF(COUNTA(G22:N22)=0,"Nije izabrana nijedna disciplina",IF(SUMPRODUCT(--(G22:N22&lt;&gt;""),--(COUNTIF(INDIRECT("disc_"&amp;$E22),G22:N22)=0))&gt;0,"Izabrana disciplina nije moguća za uzrast "&amp;$E22,IF(AND(COUNTIF(G22:N22,"Fudokan sport kumite")&gt;0,O22=""),"Nedostaje telesna težina za Fudokan sport kumite",IF(AND(COUNTIF(G22:N22,"Fudokan sport kumite")=0,O22&lt;&gt;""),"Telesna težina se unosi isključivo uz Fudokan sport kumite","prijava je kompletna")))))))))))</f>
        <v/>
      </c>
      <c r="Q22">
        <f>IF($E22="","sve_discipline","disc_"&amp;$E22)</f>
        <v/>
      </c>
      <c r="R22">
        <f>IF(OR($E22="",$C22=""),"sve_kilaze","kg_"&amp;$E22&amp;"_"&amp;IF($C22="ženski","Z","M"))</f>
        <v/>
      </c>
    </row>
    <row r="23" spans="1:18">
      <c r="A23" s="5"/>
      <c r="B23" s="5"/>
      <c r="C23" s="5"/>
      <c r="D23" s="5"/>
      <c r="E23" s="7">
        <f>IF($A23="","",LOOKUP($A23,INDEX(grupe,0,1),INDEX(grupe,0,2)))</f>
        <v/>
      </c>
      <c r="F23" s="7">
        <f>IF($E23="","",VLOOKUP($E23,INDEX(grupe,0,2):INDEX(grupe,0,3),2,FALSE))</f>
        <v/>
      </c>
      <c r="G23" s="5"/>
      <c r="H23" s="5"/>
      <c r="I23" s="5"/>
      <c r="J23" s="5"/>
      <c r="K23" s="5"/>
      <c r="L23" s="5"/>
      <c r="M23" s="5"/>
      <c r="N23" s="5"/>
      <c r="O23" s="5"/>
      <c r="P23" s="8">
        <f>IF(COUNTA($A23:$D23,G23:N23)=0,"",IF($A23="","Nedostaje godište",IF($E23="","Godište nije obuhvaćeno uzrasnom tabelom",IF($B23="","Nedostaje ime i prezime",IF(NOT(SUMPRODUCT(--ISERROR(FIND(MID($B23&amp;REPT("a",60),ROW($A$1:$A$60),1),"ABCDEFGHIJKLMNOPQRSTUVWXYZabcdefghijklmnopqrstuvwxyzČĆĐŠŽčćđšž -'")))=0),"Ime sadrži znakove koji nisu slova",IF($C23="","Nedostaje pol",IF($D23="","Nedostaje pojas",IF(COUNTA(G23:N23)=0,"Nije izabrana nijedna disciplina",IF(SUMPRODUCT(--(G23:N23&lt;&gt;""),--(COUNTIF(INDIRECT("disc_"&amp;$E23),G23:N23)=0))&gt;0,"Izabrana disciplina nije moguća za uzrast "&amp;$E23,IF(AND(COUNTIF(G23:N23,"Fudokan sport kumite")&gt;0,O23=""),"Nedostaje telesna težina za Fudokan sport kumite",IF(AND(COUNTIF(G23:N23,"Fudokan sport kumite")=0,O23&lt;&gt;""),"Telesna težina se unosi isključivo uz Fudokan sport kumite","prijava je kompletna")))))))))))</f>
        <v/>
      </c>
      <c r="Q23">
        <f>IF($E23="","sve_discipline","disc_"&amp;$E23)</f>
        <v/>
      </c>
      <c r="R23">
        <f>IF(OR($E23="",$C23=""),"sve_kilaze","kg_"&amp;$E23&amp;"_"&amp;IF($C23="ženski","Z","M"))</f>
        <v/>
      </c>
    </row>
    <row r="24" spans="1:18">
      <c r="A24" s="5"/>
      <c r="B24" s="5"/>
      <c r="C24" s="5"/>
      <c r="D24" s="5"/>
      <c r="E24" s="7">
        <f>IF($A24="","",LOOKUP($A24,INDEX(grupe,0,1),INDEX(grupe,0,2)))</f>
        <v/>
      </c>
      <c r="F24" s="7">
        <f>IF($E24="","",VLOOKUP($E24,INDEX(grupe,0,2):INDEX(grupe,0,3),2,FALSE))</f>
        <v/>
      </c>
      <c r="G24" s="5"/>
      <c r="H24" s="5"/>
      <c r="I24" s="5"/>
      <c r="J24" s="5"/>
      <c r="K24" s="5"/>
      <c r="L24" s="5"/>
      <c r="M24" s="5"/>
      <c r="N24" s="5"/>
      <c r="O24" s="5"/>
      <c r="P24" s="8">
        <f>IF(COUNTA($A24:$D24,G24:N24)=0,"",IF($A24="","Nedostaje godište",IF($E24="","Godište nije obuhvaćeno uzrasnom tabelom",IF($B24="","Nedostaje ime i prezime",IF(NOT(SUMPRODUCT(--ISERROR(FIND(MID($B24&amp;REPT("a",60),ROW($A$1:$A$60),1),"ABCDEFGHIJKLMNOPQRSTUVWXYZabcdefghijklmnopqrstuvwxyzČĆĐŠŽčćđšž -'")))=0),"Ime sadrži znakove koji nisu slova",IF($C24="","Nedostaje pol",IF($D24="","Nedostaje pojas",IF(COUNTA(G24:N24)=0,"Nije izabrana nijedna disciplina",IF(SUMPRODUCT(--(G24:N24&lt;&gt;""),--(COUNTIF(INDIRECT("disc_"&amp;$E24),G24:N24)=0))&gt;0,"Izabrana disciplina nije moguća za uzrast "&amp;$E24,IF(AND(COUNTIF(G24:N24,"Fudokan sport kumite")&gt;0,O24=""),"Nedostaje telesna težina za Fudokan sport kumite",IF(AND(COUNTIF(G24:N24,"Fudokan sport kumite")=0,O24&lt;&gt;""),"Telesna težina se unosi isključivo uz Fudokan sport kumite","prijava je kompletna")))))))))))</f>
        <v/>
      </c>
      <c r="Q24">
        <f>IF($E24="","sve_discipline","disc_"&amp;$E24)</f>
        <v/>
      </c>
      <c r="R24">
        <f>IF(OR($E24="",$C24=""),"sve_kilaze","kg_"&amp;$E24&amp;"_"&amp;IF($C24="ženski","Z","M"))</f>
        <v/>
      </c>
    </row>
    <row r="25" spans="1:18">
      <c r="A25" s="5"/>
      <c r="B25" s="5"/>
      <c r="C25" s="5"/>
      <c r="D25" s="5"/>
      <c r="E25" s="7">
        <f>IF($A25="","",LOOKUP($A25,INDEX(grupe,0,1),INDEX(grupe,0,2)))</f>
        <v/>
      </c>
      <c r="F25" s="7">
        <f>IF($E25="","",VLOOKUP($E25,INDEX(grupe,0,2):INDEX(grupe,0,3),2,FALSE))</f>
        <v/>
      </c>
      <c r="G25" s="5"/>
      <c r="H25" s="5"/>
      <c r="I25" s="5"/>
      <c r="J25" s="5"/>
      <c r="K25" s="5"/>
      <c r="L25" s="5"/>
      <c r="M25" s="5"/>
      <c r="N25" s="5"/>
      <c r="O25" s="5"/>
      <c r="P25" s="8">
        <f>IF(COUNTA($A25:$D25,G25:N25)=0,"",IF($A25="","Nedostaje godište",IF($E25="","Godište nije obuhvaćeno uzrasnom tabelom",IF($B25="","Nedostaje ime i prezime",IF(NOT(SUMPRODUCT(--ISERROR(FIND(MID($B25&amp;REPT("a",60),ROW($A$1:$A$60),1),"ABCDEFGHIJKLMNOPQRSTUVWXYZabcdefghijklmnopqrstuvwxyzČĆĐŠŽčćđšž -'")))=0),"Ime sadrži znakove koji nisu slova",IF($C25="","Nedostaje pol",IF($D25="","Nedostaje pojas",IF(COUNTA(G25:N25)=0,"Nije izabrana nijedna disciplina",IF(SUMPRODUCT(--(G25:N25&lt;&gt;""),--(COUNTIF(INDIRECT("disc_"&amp;$E25),G25:N25)=0))&gt;0,"Izabrana disciplina nije moguća za uzrast "&amp;$E25,IF(AND(COUNTIF(G25:N25,"Fudokan sport kumite")&gt;0,O25=""),"Nedostaje telesna težina za Fudokan sport kumite",IF(AND(COUNTIF(G25:N25,"Fudokan sport kumite")=0,O25&lt;&gt;""),"Telesna težina se unosi isključivo uz Fudokan sport kumite","prijava je kompletna")))))))))))</f>
        <v/>
      </c>
      <c r="Q25">
        <f>IF($E25="","sve_discipline","disc_"&amp;$E25)</f>
        <v/>
      </c>
      <c r="R25">
        <f>IF(OR($E25="",$C25=""),"sve_kilaze","kg_"&amp;$E25&amp;"_"&amp;IF($C25="ženski","Z","M"))</f>
        <v/>
      </c>
    </row>
    <row r="26" spans="1:18">
      <c r="A26" s="5"/>
      <c r="B26" s="5"/>
      <c r="C26" s="5"/>
      <c r="D26" s="5"/>
      <c r="E26" s="7">
        <f>IF($A26="","",LOOKUP($A26,INDEX(grupe,0,1),INDEX(grupe,0,2)))</f>
        <v/>
      </c>
      <c r="F26" s="7">
        <f>IF($E26="","",VLOOKUP($E26,INDEX(grupe,0,2):INDEX(grupe,0,3),2,FALSE))</f>
        <v/>
      </c>
      <c r="G26" s="5"/>
      <c r="H26" s="5"/>
      <c r="I26" s="5"/>
      <c r="J26" s="5"/>
      <c r="K26" s="5"/>
      <c r="L26" s="5"/>
      <c r="M26" s="5"/>
      <c r="N26" s="5"/>
      <c r="O26" s="5"/>
      <c r="P26" s="8">
        <f>IF(COUNTA($A26:$D26,G26:N26)=0,"",IF($A26="","Nedostaje godište",IF($E26="","Godište nije obuhvaćeno uzrasnom tabelom",IF($B26="","Nedostaje ime i prezime",IF(NOT(SUMPRODUCT(--ISERROR(FIND(MID($B26&amp;REPT("a",60),ROW($A$1:$A$60),1),"ABCDEFGHIJKLMNOPQRSTUVWXYZabcdefghijklmnopqrstuvwxyzČĆĐŠŽčćđšž -'")))=0),"Ime sadrži znakove koji nisu slova",IF($C26="","Nedostaje pol",IF($D26="","Nedostaje pojas",IF(COUNTA(G26:N26)=0,"Nije izabrana nijedna disciplina",IF(SUMPRODUCT(--(G26:N26&lt;&gt;""),--(COUNTIF(INDIRECT("disc_"&amp;$E26),G26:N26)=0))&gt;0,"Izabrana disciplina nije moguća za uzrast "&amp;$E26,IF(AND(COUNTIF(G26:N26,"Fudokan sport kumite")&gt;0,O26=""),"Nedostaje telesna težina za Fudokan sport kumite",IF(AND(COUNTIF(G26:N26,"Fudokan sport kumite")=0,O26&lt;&gt;""),"Telesna težina se unosi isključivo uz Fudokan sport kumite","prijava je kompletna")))))))))))</f>
        <v/>
      </c>
      <c r="Q26">
        <f>IF($E26="","sve_discipline","disc_"&amp;$E26)</f>
        <v/>
      </c>
      <c r="R26">
        <f>IF(OR($E26="",$C26=""),"sve_kilaze","kg_"&amp;$E26&amp;"_"&amp;IF($C26="ženski","Z","M"))</f>
        <v/>
      </c>
    </row>
    <row r="27" spans="1:18">
      <c r="A27" s="5"/>
      <c r="B27" s="5"/>
      <c r="C27" s="5"/>
      <c r="D27" s="5"/>
      <c r="E27" s="7">
        <f>IF($A27="","",LOOKUP($A27,INDEX(grupe,0,1),INDEX(grupe,0,2)))</f>
        <v/>
      </c>
      <c r="F27" s="7">
        <f>IF($E27="","",VLOOKUP($E27,INDEX(grupe,0,2):INDEX(grupe,0,3),2,FALSE))</f>
        <v/>
      </c>
      <c r="G27" s="5"/>
      <c r="H27" s="5"/>
      <c r="I27" s="5"/>
      <c r="J27" s="5"/>
      <c r="K27" s="5"/>
      <c r="L27" s="5"/>
      <c r="M27" s="5"/>
      <c r="N27" s="5"/>
      <c r="O27" s="5"/>
      <c r="P27" s="8">
        <f>IF(COUNTA($A27:$D27,G27:N27)=0,"",IF($A27="","Nedostaje godište",IF($E27="","Godište nije obuhvaćeno uzrasnom tabelom",IF($B27="","Nedostaje ime i prezime",IF(NOT(SUMPRODUCT(--ISERROR(FIND(MID($B27&amp;REPT("a",60),ROW($A$1:$A$60),1),"ABCDEFGHIJKLMNOPQRSTUVWXYZabcdefghijklmnopqrstuvwxyzČĆĐŠŽčćđšž -'")))=0),"Ime sadrži znakove koji nisu slova",IF($C27="","Nedostaje pol",IF($D27="","Nedostaje pojas",IF(COUNTA(G27:N27)=0,"Nije izabrana nijedna disciplina",IF(SUMPRODUCT(--(G27:N27&lt;&gt;""),--(COUNTIF(INDIRECT("disc_"&amp;$E27),G27:N27)=0))&gt;0,"Izabrana disciplina nije moguća za uzrast "&amp;$E27,IF(AND(COUNTIF(G27:N27,"Fudokan sport kumite")&gt;0,O27=""),"Nedostaje telesna težina za Fudokan sport kumite",IF(AND(COUNTIF(G27:N27,"Fudokan sport kumite")=0,O27&lt;&gt;""),"Telesna težina se unosi isključivo uz Fudokan sport kumite","prijava je kompletna")))))))))))</f>
        <v/>
      </c>
      <c r="Q27">
        <f>IF($E27="","sve_discipline","disc_"&amp;$E27)</f>
        <v/>
      </c>
      <c r="R27">
        <f>IF(OR($E27="",$C27=""),"sve_kilaze","kg_"&amp;$E27&amp;"_"&amp;IF($C27="ženski","Z","M"))</f>
        <v/>
      </c>
    </row>
    <row r="28" spans="1:18">
      <c r="A28" s="5"/>
      <c r="B28" s="5"/>
      <c r="C28" s="5"/>
      <c r="D28" s="5"/>
      <c r="E28" s="7">
        <f>IF($A28="","",LOOKUP($A28,INDEX(grupe,0,1),INDEX(grupe,0,2)))</f>
        <v/>
      </c>
      <c r="F28" s="7">
        <f>IF($E28="","",VLOOKUP($E28,INDEX(grupe,0,2):INDEX(grupe,0,3),2,FALSE))</f>
        <v/>
      </c>
      <c r="G28" s="5"/>
      <c r="H28" s="5"/>
      <c r="I28" s="5"/>
      <c r="J28" s="5"/>
      <c r="K28" s="5"/>
      <c r="L28" s="5"/>
      <c r="M28" s="5"/>
      <c r="N28" s="5"/>
      <c r="O28" s="5"/>
      <c r="P28" s="8">
        <f>IF(COUNTA($A28:$D28,G28:N28)=0,"",IF($A28="","Nedostaje godište",IF($E28="","Godište nije obuhvaćeno uzrasnom tabelom",IF($B28="","Nedostaje ime i prezime",IF(NOT(SUMPRODUCT(--ISERROR(FIND(MID($B28&amp;REPT("a",60),ROW($A$1:$A$60),1),"ABCDEFGHIJKLMNOPQRSTUVWXYZabcdefghijklmnopqrstuvwxyzČĆĐŠŽčćđšž -'")))=0),"Ime sadrži znakove koji nisu slova",IF($C28="","Nedostaje pol",IF($D28="","Nedostaje pojas",IF(COUNTA(G28:N28)=0,"Nije izabrana nijedna disciplina",IF(SUMPRODUCT(--(G28:N28&lt;&gt;""),--(COUNTIF(INDIRECT("disc_"&amp;$E28),G28:N28)=0))&gt;0,"Izabrana disciplina nije moguća za uzrast "&amp;$E28,IF(AND(COUNTIF(G28:N28,"Fudokan sport kumite")&gt;0,O28=""),"Nedostaje telesna težina za Fudokan sport kumite",IF(AND(COUNTIF(G28:N28,"Fudokan sport kumite")=0,O28&lt;&gt;""),"Telesna težina se unosi isključivo uz Fudokan sport kumite","prijava je kompletna")))))))))))</f>
        <v/>
      </c>
      <c r="Q28">
        <f>IF($E28="","sve_discipline","disc_"&amp;$E28)</f>
        <v/>
      </c>
      <c r="R28">
        <f>IF(OR($E28="",$C28=""),"sve_kilaze","kg_"&amp;$E28&amp;"_"&amp;IF($C28="ženski","Z","M"))</f>
        <v/>
      </c>
    </row>
    <row r="29" spans="1:18">
      <c r="A29" s="5"/>
      <c r="B29" s="5"/>
      <c r="C29" s="5"/>
      <c r="D29" s="5"/>
      <c r="E29" s="7">
        <f>IF($A29="","",LOOKUP($A29,INDEX(grupe,0,1),INDEX(grupe,0,2)))</f>
        <v/>
      </c>
      <c r="F29" s="7">
        <f>IF($E29="","",VLOOKUP($E29,INDEX(grupe,0,2):INDEX(grupe,0,3),2,FALSE))</f>
        <v/>
      </c>
      <c r="G29" s="5"/>
      <c r="H29" s="5"/>
      <c r="I29" s="5"/>
      <c r="J29" s="5"/>
      <c r="K29" s="5"/>
      <c r="L29" s="5"/>
      <c r="M29" s="5"/>
      <c r="N29" s="5"/>
      <c r="O29" s="5"/>
      <c r="P29" s="8">
        <f>IF(COUNTA($A29:$D29,G29:N29)=0,"",IF($A29="","Nedostaje godište",IF($E29="","Godište nije obuhvaćeno uzrasnom tabelom",IF($B29="","Nedostaje ime i prezime",IF(NOT(SUMPRODUCT(--ISERROR(FIND(MID($B29&amp;REPT("a",60),ROW($A$1:$A$60),1),"ABCDEFGHIJKLMNOPQRSTUVWXYZabcdefghijklmnopqrstuvwxyzČĆĐŠŽčćđšž -'")))=0),"Ime sadrži znakove koji nisu slova",IF($C29="","Nedostaje pol",IF($D29="","Nedostaje pojas",IF(COUNTA(G29:N29)=0,"Nije izabrana nijedna disciplina",IF(SUMPRODUCT(--(G29:N29&lt;&gt;""),--(COUNTIF(INDIRECT("disc_"&amp;$E29),G29:N29)=0))&gt;0,"Izabrana disciplina nije moguća za uzrast "&amp;$E29,IF(AND(COUNTIF(G29:N29,"Fudokan sport kumite")&gt;0,O29=""),"Nedostaje telesna težina za Fudokan sport kumite",IF(AND(COUNTIF(G29:N29,"Fudokan sport kumite")=0,O29&lt;&gt;""),"Telesna težina se unosi isključivo uz Fudokan sport kumite","prijava je kompletna")))))))))))</f>
        <v/>
      </c>
      <c r="Q29">
        <f>IF($E29="","sve_discipline","disc_"&amp;$E29)</f>
        <v/>
      </c>
      <c r="R29">
        <f>IF(OR($E29="",$C29=""),"sve_kilaze","kg_"&amp;$E29&amp;"_"&amp;IF($C29="ženski","Z","M"))</f>
        <v/>
      </c>
    </row>
    <row r="30" spans="1:18">
      <c r="A30" s="5"/>
      <c r="B30" s="5"/>
      <c r="C30" s="5"/>
      <c r="D30" s="5"/>
      <c r="E30" s="7">
        <f>IF($A30="","",LOOKUP($A30,INDEX(grupe,0,1),INDEX(grupe,0,2)))</f>
        <v/>
      </c>
      <c r="F30" s="7">
        <f>IF($E30="","",VLOOKUP($E30,INDEX(grupe,0,2):INDEX(grupe,0,3),2,FALSE))</f>
        <v/>
      </c>
      <c r="G30" s="5"/>
      <c r="H30" s="5"/>
      <c r="I30" s="5"/>
      <c r="J30" s="5"/>
      <c r="K30" s="5"/>
      <c r="L30" s="5"/>
      <c r="M30" s="5"/>
      <c r="N30" s="5"/>
      <c r="O30" s="5"/>
      <c r="P30" s="8">
        <f>IF(COUNTA($A30:$D30,G30:N30)=0,"",IF($A30="","Nedostaje godište",IF($E30="","Godište nije obuhvaćeno uzrasnom tabelom",IF($B30="","Nedostaje ime i prezime",IF(NOT(SUMPRODUCT(--ISERROR(FIND(MID($B30&amp;REPT("a",60),ROW($A$1:$A$60),1),"ABCDEFGHIJKLMNOPQRSTUVWXYZabcdefghijklmnopqrstuvwxyzČĆĐŠŽčćđšž -'")))=0),"Ime sadrži znakove koji nisu slova",IF($C30="","Nedostaje pol",IF($D30="","Nedostaje pojas",IF(COUNTA(G30:N30)=0,"Nije izabrana nijedna disciplina",IF(SUMPRODUCT(--(G30:N30&lt;&gt;""),--(COUNTIF(INDIRECT("disc_"&amp;$E30),G30:N30)=0))&gt;0,"Izabrana disciplina nije moguća za uzrast "&amp;$E30,IF(AND(COUNTIF(G30:N30,"Fudokan sport kumite")&gt;0,O30=""),"Nedostaje telesna težina za Fudokan sport kumite",IF(AND(COUNTIF(G30:N30,"Fudokan sport kumite")=0,O30&lt;&gt;""),"Telesna težina se unosi isključivo uz Fudokan sport kumite","prijava je kompletna")))))))))))</f>
        <v/>
      </c>
      <c r="Q30">
        <f>IF($E30="","sve_discipline","disc_"&amp;$E30)</f>
        <v/>
      </c>
      <c r="R30">
        <f>IF(OR($E30="",$C30=""),"sve_kilaze","kg_"&amp;$E30&amp;"_"&amp;IF($C30="ženski","Z","M"))</f>
        <v/>
      </c>
    </row>
    <row r="31" spans="1:18">
      <c r="A31" s="5"/>
      <c r="B31" s="5"/>
      <c r="C31" s="5"/>
      <c r="D31" s="5"/>
      <c r="E31" s="7">
        <f>IF($A31="","",LOOKUP($A31,INDEX(grupe,0,1),INDEX(grupe,0,2)))</f>
        <v/>
      </c>
      <c r="F31" s="7">
        <f>IF($E31="","",VLOOKUP($E31,INDEX(grupe,0,2):INDEX(grupe,0,3),2,FALSE))</f>
        <v/>
      </c>
      <c r="G31" s="5"/>
      <c r="H31" s="5"/>
      <c r="I31" s="5"/>
      <c r="J31" s="5"/>
      <c r="K31" s="5"/>
      <c r="L31" s="5"/>
      <c r="M31" s="5"/>
      <c r="N31" s="5"/>
      <c r="O31" s="5"/>
      <c r="P31" s="8">
        <f>IF(COUNTA($A31:$D31,G31:N31)=0,"",IF($A31="","Nedostaje godište",IF($E31="","Godište nije obuhvaćeno uzrasnom tabelom",IF($B31="","Nedostaje ime i prezime",IF(NOT(SUMPRODUCT(--ISERROR(FIND(MID($B31&amp;REPT("a",60),ROW($A$1:$A$60),1),"ABCDEFGHIJKLMNOPQRSTUVWXYZabcdefghijklmnopqrstuvwxyzČĆĐŠŽčćđšž -'")))=0),"Ime sadrži znakove koji nisu slova",IF($C31="","Nedostaje pol",IF($D31="","Nedostaje pojas",IF(COUNTA(G31:N31)=0,"Nije izabrana nijedna disciplina",IF(SUMPRODUCT(--(G31:N31&lt;&gt;""),--(COUNTIF(INDIRECT("disc_"&amp;$E31),G31:N31)=0))&gt;0,"Izabrana disciplina nije moguća za uzrast "&amp;$E31,IF(AND(COUNTIF(G31:N31,"Fudokan sport kumite")&gt;0,O31=""),"Nedostaje telesna težina za Fudokan sport kumite",IF(AND(COUNTIF(G31:N31,"Fudokan sport kumite")=0,O31&lt;&gt;""),"Telesna težina se unosi isključivo uz Fudokan sport kumite","prijava je kompletna")))))))))))</f>
        <v/>
      </c>
      <c r="Q31">
        <f>IF($E31="","sve_discipline","disc_"&amp;$E31)</f>
        <v/>
      </c>
      <c r="R31">
        <f>IF(OR($E31="",$C31=""),"sve_kilaze","kg_"&amp;$E31&amp;"_"&amp;IF($C31="ženski","Z","M"))</f>
        <v/>
      </c>
    </row>
    <row r="32" spans="1:18">
      <c r="A32" s="5"/>
      <c r="B32" s="5"/>
      <c r="C32" s="5"/>
      <c r="D32" s="5"/>
      <c r="E32" s="7">
        <f>IF($A32="","",LOOKUP($A32,INDEX(grupe,0,1),INDEX(grupe,0,2)))</f>
        <v/>
      </c>
      <c r="F32" s="7">
        <f>IF($E32="","",VLOOKUP($E32,INDEX(grupe,0,2):INDEX(grupe,0,3),2,FALSE))</f>
        <v/>
      </c>
      <c r="G32" s="5"/>
      <c r="H32" s="5"/>
      <c r="I32" s="5"/>
      <c r="J32" s="5"/>
      <c r="K32" s="5"/>
      <c r="L32" s="5"/>
      <c r="M32" s="5"/>
      <c r="N32" s="5"/>
      <c r="O32" s="5"/>
      <c r="P32" s="8">
        <f>IF(COUNTA($A32:$D32,G32:N32)=0,"",IF($A32="","Nedostaje godište",IF($E32="","Godište nije obuhvaćeno uzrasnom tabelom",IF($B32="","Nedostaje ime i prezime",IF(NOT(SUMPRODUCT(--ISERROR(FIND(MID($B32&amp;REPT("a",60),ROW($A$1:$A$60),1),"ABCDEFGHIJKLMNOPQRSTUVWXYZabcdefghijklmnopqrstuvwxyzČĆĐŠŽčćđšž -'")))=0),"Ime sadrži znakove koji nisu slova",IF($C32="","Nedostaje pol",IF($D32="","Nedostaje pojas",IF(COUNTA(G32:N32)=0,"Nije izabrana nijedna disciplina",IF(SUMPRODUCT(--(G32:N32&lt;&gt;""),--(COUNTIF(INDIRECT("disc_"&amp;$E32),G32:N32)=0))&gt;0,"Izabrana disciplina nije moguća za uzrast "&amp;$E32,IF(AND(COUNTIF(G32:N32,"Fudokan sport kumite")&gt;0,O32=""),"Nedostaje telesna težina za Fudokan sport kumite",IF(AND(COUNTIF(G32:N32,"Fudokan sport kumite")=0,O32&lt;&gt;""),"Telesna težina se unosi isključivo uz Fudokan sport kumite","prijava je kompletna")))))))))))</f>
        <v/>
      </c>
      <c r="Q32">
        <f>IF($E32="","sve_discipline","disc_"&amp;$E32)</f>
        <v/>
      </c>
      <c r="R32">
        <f>IF(OR($E32="",$C32=""),"sve_kilaze","kg_"&amp;$E32&amp;"_"&amp;IF($C32="ženski","Z","M"))</f>
        <v/>
      </c>
    </row>
    <row r="33" spans="1:18">
      <c r="A33" s="5"/>
      <c r="B33" s="5"/>
      <c r="C33" s="5"/>
      <c r="D33" s="5"/>
      <c r="E33" s="7">
        <f>IF($A33="","",LOOKUP($A33,INDEX(grupe,0,1),INDEX(grupe,0,2)))</f>
        <v/>
      </c>
      <c r="F33" s="7">
        <f>IF($E33="","",VLOOKUP($E33,INDEX(grupe,0,2):INDEX(grupe,0,3),2,FALSE))</f>
        <v/>
      </c>
      <c r="G33" s="5"/>
      <c r="H33" s="5"/>
      <c r="I33" s="5"/>
      <c r="J33" s="5"/>
      <c r="K33" s="5"/>
      <c r="L33" s="5"/>
      <c r="M33" s="5"/>
      <c r="N33" s="5"/>
      <c r="O33" s="5"/>
      <c r="P33" s="8">
        <f>IF(COUNTA($A33:$D33,G33:N33)=0,"",IF($A33="","Nedostaje godište",IF($E33="","Godište nije obuhvaćeno uzrasnom tabelom",IF($B33="","Nedostaje ime i prezime",IF(NOT(SUMPRODUCT(--ISERROR(FIND(MID($B33&amp;REPT("a",60),ROW($A$1:$A$60),1),"ABCDEFGHIJKLMNOPQRSTUVWXYZabcdefghijklmnopqrstuvwxyzČĆĐŠŽčćđšž -'")))=0),"Ime sadrži znakove koji nisu slova",IF($C33="","Nedostaje pol",IF($D33="","Nedostaje pojas",IF(COUNTA(G33:N33)=0,"Nije izabrana nijedna disciplina",IF(SUMPRODUCT(--(G33:N33&lt;&gt;""),--(COUNTIF(INDIRECT("disc_"&amp;$E33),G33:N33)=0))&gt;0,"Izabrana disciplina nije moguća za uzrast "&amp;$E33,IF(AND(COUNTIF(G33:N33,"Fudokan sport kumite")&gt;0,O33=""),"Nedostaje telesna težina za Fudokan sport kumite",IF(AND(COUNTIF(G33:N33,"Fudokan sport kumite")=0,O33&lt;&gt;""),"Telesna težina se unosi isključivo uz Fudokan sport kumite","prijava je kompletna")))))))))))</f>
        <v/>
      </c>
      <c r="Q33">
        <f>IF($E33="","sve_discipline","disc_"&amp;$E33)</f>
        <v/>
      </c>
      <c r="R33">
        <f>IF(OR($E33="",$C33=""),"sve_kilaze","kg_"&amp;$E33&amp;"_"&amp;IF($C33="ženski","Z","M"))</f>
        <v/>
      </c>
    </row>
    <row r="34" spans="1:18">
      <c r="A34" s="5"/>
      <c r="B34" s="5"/>
      <c r="C34" s="5"/>
      <c r="D34" s="5"/>
      <c r="E34" s="7">
        <f>IF($A34="","",LOOKUP($A34,INDEX(grupe,0,1),INDEX(grupe,0,2)))</f>
        <v/>
      </c>
      <c r="F34" s="7">
        <f>IF($E34="","",VLOOKUP($E34,INDEX(grupe,0,2):INDEX(grupe,0,3),2,FALSE))</f>
        <v/>
      </c>
      <c r="G34" s="5"/>
      <c r="H34" s="5"/>
      <c r="I34" s="5"/>
      <c r="J34" s="5"/>
      <c r="K34" s="5"/>
      <c r="L34" s="5"/>
      <c r="M34" s="5"/>
      <c r="N34" s="5"/>
      <c r="O34" s="5"/>
      <c r="P34" s="8">
        <f>IF(COUNTA($A34:$D34,G34:N34)=0,"",IF($A34="","Nedostaje godište",IF($E34="","Godište nije obuhvaćeno uzrasnom tabelom",IF($B34="","Nedostaje ime i prezime",IF(NOT(SUMPRODUCT(--ISERROR(FIND(MID($B34&amp;REPT("a",60),ROW($A$1:$A$60),1),"ABCDEFGHIJKLMNOPQRSTUVWXYZabcdefghijklmnopqrstuvwxyzČĆĐŠŽčćđšž -'")))=0),"Ime sadrži znakove koji nisu slova",IF($C34="","Nedostaje pol",IF($D34="","Nedostaje pojas",IF(COUNTA(G34:N34)=0,"Nije izabrana nijedna disciplina",IF(SUMPRODUCT(--(G34:N34&lt;&gt;""),--(COUNTIF(INDIRECT("disc_"&amp;$E34),G34:N34)=0))&gt;0,"Izabrana disciplina nije moguća za uzrast "&amp;$E34,IF(AND(COUNTIF(G34:N34,"Fudokan sport kumite")&gt;0,O34=""),"Nedostaje telesna težina za Fudokan sport kumite",IF(AND(COUNTIF(G34:N34,"Fudokan sport kumite")=0,O34&lt;&gt;""),"Telesna težina se unosi isključivo uz Fudokan sport kumite","prijava je kompletna")))))))))))</f>
        <v/>
      </c>
      <c r="Q34">
        <f>IF($E34="","sve_discipline","disc_"&amp;$E34)</f>
        <v/>
      </c>
      <c r="R34">
        <f>IF(OR($E34="",$C34=""),"sve_kilaze","kg_"&amp;$E34&amp;"_"&amp;IF($C34="ženski","Z","M"))</f>
        <v/>
      </c>
    </row>
    <row r="35" spans="1:18">
      <c r="A35" s="5"/>
      <c r="B35" s="5"/>
      <c r="C35" s="5"/>
      <c r="D35" s="5"/>
      <c r="E35" s="7">
        <f>IF($A35="","",LOOKUP($A35,INDEX(grupe,0,1),INDEX(grupe,0,2)))</f>
        <v/>
      </c>
      <c r="F35" s="7">
        <f>IF($E35="","",VLOOKUP($E35,INDEX(grupe,0,2):INDEX(grupe,0,3),2,FALSE))</f>
        <v/>
      </c>
      <c r="G35" s="5"/>
      <c r="H35" s="5"/>
      <c r="I35" s="5"/>
      <c r="J35" s="5"/>
      <c r="K35" s="5"/>
      <c r="L35" s="5"/>
      <c r="M35" s="5"/>
      <c r="N35" s="5"/>
      <c r="O35" s="5"/>
      <c r="P35" s="8">
        <f>IF(COUNTA($A35:$D35,G35:N35)=0,"",IF($A35="","Nedostaje godište",IF($E35="","Godište nije obuhvaćeno uzrasnom tabelom",IF($B35="","Nedostaje ime i prezime",IF(NOT(SUMPRODUCT(--ISERROR(FIND(MID($B35&amp;REPT("a",60),ROW($A$1:$A$60),1),"ABCDEFGHIJKLMNOPQRSTUVWXYZabcdefghijklmnopqrstuvwxyzČĆĐŠŽčćđšž -'")))=0),"Ime sadrži znakove koji nisu slova",IF($C35="","Nedostaje pol",IF($D35="","Nedostaje pojas",IF(COUNTA(G35:N35)=0,"Nije izabrana nijedna disciplina",IF(SUMPRODUCT(--(G35:N35&lt;&gt;""),--(COUNTIF(INDIRECT("disc_"&amp;$E35),G35:N35)=0))&gt;0,"Izabrana disciplina nije moguća za uzrast "&amp;$E35,IF(AND(COUNTIF(G35:N35,"Fudokan sport kumite")&gt;0,O35=""),"Nedostaje telesna težina za Fudokan sport kumite",IF(AND(COUNTIF(G35:N35,"Fudokan sport kumite")=0,O35&lt;&gt;""),"Telesna težina se unosi isključivo uz Fudokan sport kumite","prijava je kompletna")))))))))))</f>
        <v/>
      </c>
      <c r="Q35">
        <f>IF($E35="","sve_discipline","disc_"&amp;$E35)</f>
        <v/>
      </c>
      <c r="R35">
        <f>IF(OR($E35="",$C35=""),"sve_kilaze","kg_"&amp;$E35&amp;"_"&amp;IF($C35="ženski","Z","M"))</f>
        <v/>
      </c>
    </row>
    <row r="36" spans="1:18">
      <c r="A36" s="5"/>
      <c r="B36" s="5"/>
      <c r="C36" s="5"/>
      <c r="D36" s="5"/>
      <c r="E36" s="7">
        <f>IF($A36="","",LOOKUP($A36,INDEX(grupe,0,1),INDEX(grupe,0,2)))</f>
        <v/>
      </c>
      <c r="F36" s="7">
        <f>IF($E36="","",VLOOKUP($E36,INDEX(grupe,0,2):INDEX(grupe,0,3),2,FALSE))</f>
        <v/>
      </c>
      <c r="G36" s="5"/>
      <c r="H36" s="5"/>
      <c r="I36" s="5"/>
      <c r="J36" s="5"/>
      <c r="K36" s="5"/>
      <c r="L36" s="5"/>
      <c r="M36" s="5"/>
      <c r="N36" s="5"/>
      <c r="O36" s="5"/>
      <c r="P36" s="8">
        <f>IF(COUNTA($A36:$D36,G36:N36)=0,"",IF($A36="","Nedostaje godište",IF($E36="","Godište nije obuhvaćeno uzrasnom tabelom",IF($B36="","Nedostaje ime i prezime",IF(NOT(SUMPRODUCT(--ISERROR(FIND(MID($B36&amp;REPT("a",60),ROW($A$1:$A$60),1),"ABCDEFGHIJKLMNOPQRSTUVWXYZabcdefghijklmnopqrstuvwxyzČĆĐŠŽčćđšž -'")))=0),"Ime sadrži znakove koji nisu slova",IF($C36="","Nedostaje pol",IF($D36="","Nedostaje pojas",IF(COUNTA(G36:N36)=0,"Nije izabrana nijedna disciplina",IF(SUMPRODUCT(--(G36:N36&lt;&gt;""),--(COUNTIF(INDIRECT("disc_"&amp;$E36),G36:N36)=0))&gt;0,"Izabrana disciplina nije moguća za uzrast "&amp;$E36,IF(AND(COUNTIF(G36:N36,"Fudokan sport kumite")&gt;0,O36=""),"Nedostaje telesna težina za Fudokan sport kumite",IF(AND(COUNTIF(G36:N36,"Fudokan sport kumite")=0,O36&lt;&gt;""),"Telesna težina se unosi isključivo uz Fudokan sport kumite","prijava je kompletna")))))))))))</f>
        <v/>
      </c>
      <c r="Q36">
        <f>IF($E36="","sve_discipline","disc_"&amp;$E36)</f>
        <v/>
      </c>
      <c r="R36">
        <f>IF(OR($E36="",$C36=""),"sve_kilaze","kg_"&amp;$E36&amp;"_"&amp;IF($C36="ženski","Z","M"))</f>
        <v/>
      </c>
    </row>
    <row r="37" spans="1:18">
      <c r="A37" s="5"/>
      <c r="B37" s="5"/>
      <c r="C37" s="5"/>
      <c r="D37" s="5"/>
      <c r="E37" s="7">
        <f>IF($A37="","",LOOKUP($A37,INDEX(grupe,0,1),INDEX(grupe,0,2)))</f>
        <v/>
      </c>
      <c r="F37" s="7">
        <f>IF($E37="","",VLOOKUP($E37,INDEX(grupe,0,2):INDEX(grupe,0,3),2,FALSE))</f>
        <v/>
      </c>
      <c r="G37" s="5"/>
      <c r="H37" s="5"/>
      <c r="I37" s="5"/>
      <c r="J37" s="5"/>
      <c r="K37" s="5"/>
      <c r="L37" s="5"/>
      <c r="M37" s="5"/>
      <c r="N37" s="5"/>
      <c r="O37" s="5"/>
      <c r="P37" s="8">
        <f>IF(COUNTA($A37:$D37,G37:N37)=0,"",IF($A37="","Nedostaje godište",IF($E37="","Godište nije obuhvaćeno uzrasnom tabelom",IF($B37="","Nedostaje ime i prezime",IF(NOT(SUMPRODUCT(--ISERROR(FIND(MID($B37&amp;REPT("a",60),ROW($A$1:$A$60),1),"ABCDEFGHIJKLMNOPQRSTUVWXYZabcdefghijklmnopqrstuvwxyzČĆĐŠŽčćđšž -'")))=0),"Ime sadrži znakove koji nisu slova",IF($C37="","Nedostaje pol",IF($D37="","Nedostaje pojas",IF(COUNTA(G37:N37)=0,"Nije izabrana nijedna disciplina",IF(SUMPRODUCT(--(G37:N37&lt;&gt;""),--(COUNTIF(INDIRECT("disc_"&amp;$E37),G37:N37)=0))&gt;0,"Izabrana disciplina nije moguća za uzrast "&amp;$E37,IF(AND(COUNTIF(G37:N37,"Fudokan sport kumite")&gt;0,O37=""),"Nedostaje telesna težina za Fudokan sport kumite",IF(AND(COUNTIF(G37:N37,"Fudokan sport kumite")=0,O37&lt;&gt;""),"Telesna težina se unosi isključivo uz Fudokan sport kumite","prijava je kompletna")))))))))))</f>
        <v/>
      </c>
      <c r="Q37">
        <f>IF($E37="","sve_discipline","disc_"&amp;$E37)</f>
        <v/>
      </c>
      <c r="R37">
        <f>IF(OR($E37="",$C37=""),"sve_kilaze","kg_"&amp;$E37&amp;"_"&amp;IF($C37="ženski","Z","M"))</f>
        <v/>
      </c>
    </row>
    <row r="38" spans="1:18">
      <c r="A38" s="5"/>
      <c r="B38" s="5"/>
      <c r="C38" s="5"/>
      <c r="D38" s="5"/>
      <c r="E38" s="7">
        <f>IF($A38="","",LOOKUP($A38,INDEX(grupe,0,1),INDEX(grupe,0,2)))</f>
        <v/>
      </c>
      <c r="F38" s="7">
        <f>IF($E38="","",VLOOKUP($E38,INDEX(grupe,0,2):INDEX(grupe,0,3),2,FALSE))</f>
        <v/>
      </c>
      <c r="G38" s="5"/>
      <c r="H38" s="5"/>
      <c r="I38" s="5"/>
      <c r="J38" s="5"/>
      <c r="K38" s="5"/>
      <c r="L38" s="5"/>
      <c r="M38" s="5"/>
      <c r="N38" s="5"/>
      <c r="O38" s="5"/>
      <c r="P38" s="8">
        <f>IF(COUNTA($A38:$D38,G38:N38)=0,"",IF($A38="","Nedostaje godište",IF($E38="","Godište nije obuhvaćeno uzrasnom tabelom",IF($B38="","Nedostaje ime i prezime",IF(NOT(SUMPRODUCT(--ISERROR(FIND(MID($B38&amp;REPT("a",60),ROW($A$1:$A$60),1),"ABCDEFGHIJKLMNOPQRSTUVWXYZabcdefghijklmnopqrstuvwxyzČĆĐŠŽčćđšž -'")))=0),"Ime sadrži znakove koji nisu slova",IF($C38="","Nedostaje pol",IF($D38="","Nedostaje pojas",IF(COUNTA(G38:N38)=0,"Nije izabrana nijedna disciplina",IF(SUMPRODUCT(--(G38:N38&lt;&gt;""),--(COUNTIF(INDIRECT("disc_"&amp;$E38),G38:N38)=0))&gt;0,"Izabrana disciplina nije moguća za uzrast "&amp;$E38,IF(AND(COUNTIF(G38:N38,"Fudokan sport kumite")&gt;0,O38=""),"Nedostaje telesna težina za Fudokan sport kumite",IF(AND(COUNTIF(G38:N38,"Fudokan sport kumite")=0,O38&lt;&gt;""),"Telesna težina se unosi isključivo uz Fudokan sport kumite","prijava je kompletna")))))))))))</f>
        <v/>
      </c>
      <c r="Q38">
        <f>IF($E38="","sve_discipline","disc_"&amp;$E38)</f>
        <v/>
      </c>
      <c r="R38">
        <f>IF(OR($E38="",$C38=""),"sve_kilaze","kg_"&amp;$E38&amp;"_"&amp;IF($C38="ženski","Z","M"))</f>
        <v/>
      </c>
    </row>
    <row r="39" spans="1:18">
      <c r="A39" s="5"/>
      <c r="B39" s="5"/>
      <c r="C39" s="5"/>
      <c r="D39" s="5"/>
      <c r="E39" s="7">
        <f>IF($A39="","",LOOKUP($A39,INDEX(grupe,0,1),INDEX(grupe,0,2)))</f>
        <v/>
      </c>
      <c r="F39" s="7">
        <f>IF($E39="","",VLOOKUP($E39,INDEX(grupe,0,2):INDEX(grupe,0,3),2,FALSE))</f>
        <v/>
      </c>
      <c r="G39" s="5"/>
      <c r="H39" s="5"/>
      <c r="I39" s="5"/>
      <c r="J39" s="5"/>
      <c r="K39" s="5"/>
      <c r="L39" s="5"/>
      <c r="M39" s="5"/>
      <c r="N39" s="5"/>
      <c r="O39" s="5"/>
      <c r="P39" s="8">
        <f>IF(COUNTA($A39:$D39,G39:N39)=0,"",IF($A39="","Nedostaje godište",IF($E39="","Godište nije obuhvaćeno uzrasnom tabelom",IF($B39="","Nedostaje ime i prezime",IF(NOT(SUMPRODUCT(--ISERROR(FIND(MID($B39&amp;REPT("a",60),ROW($A$1:$A$60),1),"ABCDEFGHIJKLMNOPQRSTUVWXYZabcdefghijklmnopqrstuvwxyzČĆĐŠŽčćđšž -'")))=0),"Ime sadrži znakove koji nisu slova",IF($C39="","Nedostaje pol",IF($D39="","Nedostaje pojas",IF(COUNTA(G39:N39)=0,"Nije izabrana nijedna disciplina",IF(SUMPRODUCT(--(G39:N39&lt;&gt;""),--(COUNTIF(INDIRECT("disc_"&amp;$E39),G39:N39)=0))&gt;0,"Izabrana disciplina nije moguća za uzrast "&amp;$E39,IF(AND(COUNTIF(G39:N39,"Fudokan sport kumite")&gt;0,O39=""),"Nedostaje telesna težina za Fudokan sport kumite",IF(AND(COUNTIF(G39:N39,"Fudokan sport kumite")=0,O39&lt;&gt;""),"Telesna težina se unosi isključivo uz Fudokan sport kumite","prijava je kompletna")))))))))))</f>
        <v/>
      </c>
      <c r="Q39">
        <f>IF($E39="","sve_discipline","disc_"&amp;$E39)</f>
        <v/>
      </c>
      <c r="R39">
        <f>IF(OR($E39="",$C39=""),"sve_kilaze","kg_"&amp;$E39&amp;"_"&amp;IF($C39="ženski","Z","M"))</f>
        <v/>
      </c>
    </row>
    <row r="40" spans="1:18">
      <c r="A40" s="5"/>
      <c r="B40" s="5"/>
      <c r="C40" s="5"/>
      <c r="D40" s="5"/>
      <c r="E40" s="7">
        <f>IF($A40="","",LOOKUP($A40,INDEX(grupe,0,1),INDEX(grupe,0,2)))</f>
        <v/>
      </c>
      <c r="F40" s="7">
        <f>IF($E40="","",VLOOKUP($E40,INDEX(grupe,0,2):INDEX(grupe,0,3),2,FALSE))</f>
        <v/>
      </c>
      <c r="G40" s="5"/>
      <c r="H40" s="5"/>
      <c r="I40" s="5"/>
      <c r="J40" s="5"/>
      <c r="K40" s="5"/>
      <c r="L40" s="5"/>
      <c r="M40" s="5"/>
      <c r="N40" s="5"/>
      <c r="O40" s="5"/>
      <c r="P40" s="8">
        <f>IF(COUNTA($A40:$D40,G40:N40)=0,"",IF($A40="","Nedostaje godište",IF($E40="","Godište nije obuhvaćeno uzrasnom tabelom",IF($B40="","Nedostaje ime i prezime",IF(NOT(SUMPRODUCT(--ISERROR(FIND(MID($B40&amp;REPT("a",60),ROW($A$1:$A$60),1),"ABCDEFGHIJKLMNOPQRSTUVWXYZabcdefghijklmnopqrstuvwxyzČĆĐŠŽčćđšž -'")))=0),"Ime sadrži znakove koji nisu slova",IF($C40="","Nedostaje pol",IF($D40="","Nedostaje pojas",IF(COUNTA(G40:N40)=0,"Nije izabrana nijedna disciplina",IF(SUMPRODUCT(--(G40:N40&lt;&gt;""),--(COUNTIF(INDIRECT("disc_"&amp;$E40),G40:N40)=0))&gt;0,"Izabrana disciplina nije moguća za uzrast "&amp;$E40,IF(AND(COUNTIF(G40:N40,"Fudokan sport kumite")&gt;0,O40=""),"Nedostaje telesna težina za Fudokan sport kumite",IF(AND(COUNTIF(G40:N40,"Fudokan sport kumite")=0,O40&lt;&gt;""),"Telesna težina se unosi isključivo uz Fudokan sport kumite","prijava je kompletna")))))))))))</f>
        <v/>
      </c>
      <c r="Q40">
        <f>IF($E40="","sve_discipline","disc_"&amp;$E40)</f>
        <v/>
      </c>
      <c r="R40">
        <f>IF(OR($E40="",$C40=""),"sve_kilaze","kg_"&amp;$E40&amp;"_"&amp;IF($C40="ženski","Z","M"))</f>
        <v/>
      </c>
    </row>
    <row r="41" spans="1:18">
      <c r="A41" s="5"/>
      <c r="B41" s="5"/>
      <c r="C41" s="5"/>
      <c r="D41" s="5"/>
      <c r="E41" s="7">
        <f>IF($A41="","",LOOKUP($A41,INDEX(grupe,0,1),INDEX(grupe,0,2)))</f>
        <v/>
      </c>
      <c r="F41" s="7">
        <f>IF($E41="","",VLOOKUP($E41,INDEX(grupe,0,2):INDEX(grupe,0,3),2,FALSE))</f>
        <v/>
      </c>
      <c r="G41" s="5"/>
      <c r="H41" s="5"/>
      <c r="I41" s="5"/>
      <c r="J41" s="5"/>
      <c r="K41" s="5"/>
      <c r="L41" s="5"/>
      <c r="M41" s="5"/>
      <c r="N41" s="5"/>
      <c r="O41" s="5"/>
      <c r="P41" s="8">
        <f>IF(COUNTA($A41:$D41,G41:N41)=0,"",IF($A41="","Nedostaje godište",IF($E41="","Godište nije obuhvaćeno uzrasnom tabelom",IF($B41="","Nedostaje ime i prezime",IF(NOT(SUMPRODUCT(--ISERROR(FIND(MID($B41&amp;REPT("a",60),ROW($A$1:$A$60),1),"ABCDEFGHIJKLMNOPQRSTUVWXYZabcdefghijklmnopqrstuvwxyzČĆĐŠŽčćđšž -'")))=0),"Ime sadrži znakove koji nisu slova",IF($C41="","Nedostaje pol",IF($D41="","Nedostaje pojas",IF(COUNTA(G41:N41)=0,"Nije izabrana nijedna disciplina",IF(SUMPRODUCT(--(G41:N41&lt;&gt;""),--(COUNTIF(INDIRECT("disc_"&amp;$E41),G41:N41)=0))&gt;0,"Izabrana disciplina nije moguća za uzrast "&amp;$E41,IF(AND(COUNTIF(G41:N41,"Fudokan sport kumite")&gt;0,O41=""),"Nedostaje telesna težina za Fudokan sport kumite",IF(AND(COUNTIF(G41:N41,"Fudokan sport kumite")=0,O41&lt;&gt;""),"Telesna težina se unosi isključivo uz Fudokan sport kumite","prijava je kompletna")))))))))))</f>
        <v/>
      </c>
      <c r="Q41">
        <f>IF($E41="","sve_discipline","disc_"&amp;$E41)</f>
        <v/>
      </c>
      <c r="R41">
        <f>IF(OR($E41="",$C41=""),"sve_kilaze","kg_"&amp;$E41&amp;"_"&amp;IF($C41="ženski","Z","M"))</f>
        <v/>
      </c>
    </row>
    <row r="42" spans="1:18">
      <c r="A42" s="5"/>
      <c r="B42" s="5"/>
      <c r="C42" s="5"/>
      <c r="D42" s="5"/>
      <c r="E42" s="7">
        <f>IF($A42="","",LOOKUP($A42,INDEX(grupe,0,1),INDEX(grupe,0,2)))</f>
        <v/>
      </c>
      <c r="F42" s="7">
        <f>IF($E42="","",VLOOKUP($E42,INDEX(grupe,0,2):INDEX(grupe,0,3),2,FALSE))</f>
        <v/>
      </c>
      <c r="G42" s="5"/>
      <c r="H42" s="5"/>
      <c r="I42" s="5"/>
      <c r="J42" s="5"/>
      <c r="K42" s="5"/>
      <c r="L42" s="5"/>
      <c r="M42" s="5"/>
      <c r="N42" s="5"/>
      <c r="O42" s="5"/>
      <c r="P42" s="8">
        <f>IF(COUNTA($A42:$D42,G42:N42)=0,"",IF($A42="","Nedostaje godište",IF($E42="","Godište nije obuhvaćeno uzrasnom tabelom",IF($B42="","Nedostaje ime i prezime",IF(NOT(SUMPRODUCT(--ISERROR(FIND(MID($B42&amp;REPT("a",60),ROW($A$1:$A$60),1),"ABCDEFGHIJKLMNOPQRSTUVWXYZabcdefghijklmnopqrstuvwxyzČĆĐŠŽčćđšž -'")))=0),"Ime sadrži znakove koji nisu slova",IF($C42="","Nedostaje pol",IF($D42="","Nedostaje pojas",IF(COUNTA(G42:N42)=0,"Nije izabrana nijedna disciplina",IF(SUMPRODUCT(--(G42:N42&lt;&gt;""),--(COUNTIF(INDIRECT("disc_"&amp;$E42),G42:N42)=0))&gt;0,"Izabrana disciplina nije moguća za uzrast "&amp;$E42,IF(AND(COUNTIF(G42:N42,"Fudokan sport kumite")&gt;0,O42=""),"Nedostaje telesna težina za Fudokan sport kumite",IF(AND(COUNTIF(G42:N42,"Fudokan sport kumite")=0,O42&lt;&gt;""),"Telesna težina se unosi isključivo uz Fudokan sport kumite","prijava je kompletna")))))))))))</f>
        <v/>
      </c>
      <c r="Q42">
        <f>IF($E42="","sve_discipline","disc_"&amp;$E42)</f>
        <v/>
      </c>
      <c r="R42">
        <f>IF(OR($E42="",$C42=""),"sve_kilaze","kg_"&amp;$E42&amp;"_"&amp;IF($C42="ženski","Z","M"))</f>
        <v/>
      </c>
    </row>
    <row r="43" spans="1:18">
      <c r="A43" s="5"/>
      <c r="B43" s="5"/>
      <c r="C43" s="5"/>
      <c r="D43" s="5"/>
      <c r="E43" s="7">
        <f>IF($A43="","",LOOKUP($A43,INDEX(grupe,0,1),INDEX(grupe,0,2)))</f>
        <v/>
      </c>
      <c r="F43" s="7">
        <f>IF($E43="","",VLOOKUP($E43,INDEX(grupe,0,2):INDEX(grupe,0,3),2,FALSE))</f>
        <v/>
      </c>
      <c r="G43" s="5"/>
      <c r="H43" s="5"/>
      <c r="I43" s="5"/>
      <c r="J43" s="5"/>
      <c r="K43" s="5"/>
      <c r="L43" s="5"/>
      <c r="M43" s="5"/>
      <c r="N43" s="5"/>
      <c r="O43" s="5"/>
      <c r="P43" s="8">
        <f>IF(COUNTA($A43:$D43,G43:N43)=0,"",IF($A43="","Nedostaje godište",IF($E43="","Godište nije obuhvaćeno uzrasnom tabelom",IF($B43="","Nedostaje ime i prezime",IF(NOT(SUMPRODUCT(--ISERROR(FIND(MID($B43&amp;REPT("a",60),ROW($A$1:$A$60),1),"ABCDEFGHIJKLMNOPQRSTUVWXYZabcdefghijklmnopqrstuvwxyzČĆĐŠŽčćđšž -'")))=0),"Ime sadrži znakove koji nisu slova",IF($C43="","Nedostaje pol",IF($D43="","Nedostaje pojas",IF(COUNTA(G43:N43)=0,"Nije izabrana nijedna disciplina",IF(SUMPRODUCT(--(G43:N43&lt;&gt;""),--(COUNTIF(INDIRECT("disc_"&amp;$E43),G43:N43)=0))&gt;0,"Izabrana disciplina nije moguća za uzrast "&amp;$E43,IF(AND(COUNTIF(G43:N43,"Fudokan sport kumite")&gt;0,O43=""),"Nedostaje telesna težina za Fudokan sport kumite",IF(AND(COUNTIF(G43:N43,"Fudokan sport kumite")=0,O43&lt;&gt;""),"Telesna težina se unosi isključivo uz Fudokan sport kumite","prijava je kompletna")))))))))))</f>
        <v/>
      </c>
      <c r="Q43">
        <f>IF($E43="","sve_discipline","disc_"&amp;$E43)</f>
        <v/>
      </c>
      <c r="R43">
        <f>IF(OR($E43="",$C43=""),"sve_kilaze","kg_"&amp;$E43&amp;"_"&amp;IF($C43="ženski","Z","M"))</f>
        <v/>
      </c>
    </row>
    <row r="44" spans="1:18">
      <c r="A44" s="5"/>
      <c r="B44" s="5"/>
      <c r="C44" s="5"/>
      <c r="D44" s="5"/>
      <c r="E44" s="7">
        <f>IF($A44="","",LOOKUP($A44,INDEX(grupe,0,1),INDEX(grupe,0,2)))</f>
        <v/>
      </c>
      <c r="F44" s="7">
        <f>IF($E44="","",VLOOKUP($E44,INDEX(grupe,0,2):INDEX(grupe,0,3),2,FALSE))</f>
        <v/>
      </c>
      <c r="G44" s="5"/>
      <c r="H44" s="5"/>
      <c r="I44" s="5"/>
      <c r="J44" s="5"/>
      <c r="K44" s="5"/>
      <c r="L44" s="5"/>
      <c r="M44" s="5"/>
      <c r="N44" s="5"/>
      <c r="O44" s="5"/>
      <c r="P44" s="8">
        <f>IF(COUNTA($A44:$D44,G44:N44)=0,"",IF($A44="","Nedostaje godište",IF($E44="","Godište nije obuhvaćeno uzrasnom tabelom",IF($B44="","Nedostaje ime i prezime",IF(NOT(SUMPRODUCT(--ISERROR(FIND(MID($B44&amp;REPT("a",60),ROW($A$1:$A$60),1),"ABCDEFGHIJKLMNOPQRSTUVWXYZabcdefghijklmnopqrstuvwxyzČĆĐŠŽčćđšž -'")))=0),"Ime sadrži znakove koji nisu slova",IF($C44="","Nedostaje pol",IF($D44="","Nedostaje pojas",IF(COUNTA(G44:N44)=0,"Nije izabrana nijedna disciplina",IF(SUMPRODUCT(--(G44:N44&lt;&gt;""),--(COUNTIF(INDIRECT("disc_"&amp;$E44),G44:N44)=0))&gt;0,"Izabrana disciplina nije moguća za uzrast "&amp;$E44,IF(AND(COUNTIF(G44:N44,"Fudokan sport kumite")&gt;0,O44=""),"Nedostaje telesna težina za Fudokan sport kumite",IF(AND(COUNTIF(G44:N44,"Fudokan sport kumite")=0,O44&lt;&gt;""),"Telesna težina se unosi isključivo uz Fudokan sport kumite","prijava je kompletna")))))))))))</f>
        <v/>
      </c>
      <c r="Q44">
        <f>IF($E44="","sve_discipline","disc_"&amp;$E44)</f>
        <v/>
      </c>
      <c r="R44">
        <f>IF(OR($E44="",$C44=""),"sve_kilaze","kg_"&amp;$E44&amp;"_"&amp;IF($C44="ženski","Z","M"))</f>
        <v/>
      </c>
    </row>
    <row r="45" spans="1:18">
      <c r="A45" s="5"/>
      <c r="B45" s="5"/>
      <c r="C45" s="5"/>
      <c r="D45" s="5"/>
      <c r="E45" s="7">
        <f>IF($A45="","",LOOKUP($A45,INDEX(grupe,0,1),INDEX(grupe,0,2)))</f>
        <v/>
      </c>
      <c r="F45" s="7">
        <f>IF($E45="","",VLOOKUP($E45,INDEX(grupe,0,2):INDEX(grupe,0,3),2,FALSE))</f>
        <v/>
      </c>
      <c r="G45" s="5"/>
      <c r="H45" s="5"/>
      <c r="I45" s="5"/>
      <c r="J45" s="5"/>
      <c r="K45" s="5"/>
      <c r="L45" s="5"/>
      <c r="M45" s="5"/>
      <c r="N45" s="5"/>
      <c r="O45" s="5"/>
      <c r="P45" s="8">
        <f>IF(COUNTA($A45:$D45,G45:N45)=0,"",IF($A45="","Nedostaje godište",IF($E45="","Godište nije obuhvaćeno uzrasnom tabelom",IF($B45="","Nedostaje ime i prezime",IF(NOT(SUMPRODUCT(--ISERROR(FIND(MID($B45&amp;REPT("a",60),ROW($A$1:$A$60),1),"ABCDEFGHIJKLMNOPQRSTUVWXYZabcdefghijklmnopqrstuvwxyzČĆĐŠŽčćđšž -'")))=0),"Ime sadrži znakove koji nisu slova",IF($C45="","Nedostaje pol",IF($D45="","Nedostaje pojas",IF(COUNTA(G45:N45)=0,"Nije izabrana nijedna disciplina",IF(SUMPRODUCT(--(G45:N45&lt;&gt;""),--(COUNTIF(INDIRECT("disc_"&amp;$E45),G45:N45)=0))&gt;0,"Izabrana disciplina nije moguća za uzrast "&amp;$E45,IF(AND(COUNTIF(G45:N45,"Fudokan sport kumite")&gt;0,O45=""),"Nedostaje telesna težina za Fudokan sport kumite",IF(AND(COUNTIF(G45:N45,"Fudokan sport kumite")=0,O45&lt;&gt;""),"Telesna težina se unosi isključivo uz Fudokan sport kumite","prijava je kompletna")))))))))))</f>
        <v/>
      </c>
      <c r="Q45">
        <f>IF($E45="","sve_discipline","disc_"&amp;$E45)</f>
        <v/>
      </c>
      <c r="R45">
        <f>IF(OR($E45="",$C45=""),"sve_kilaze","kg_"&amp;$E45&amp;"_"&amp;IF($C45="ženski","Z","M"))</f>
        <v/>
      </c>
    </row>
    <row r="46" spans="1:18">
      <c r="A46" s="5"/>
      <c r="B46" s="5"/>
      <c r="C46" s="5"/>
      <c r="D46" s="5"/>
      <c r="E46" s="7">
        <f>IF($A46="","",LOOKUP($A46,INDEX(grupe,0,1),INDEX(grupe,0,2)))</f>
        <v/>
      </c>
      <c r="F46" s="7">
        <f>IF($E46="","",VLOOKUP($E46,INDEX(grupe,0,2):INDEX(grupe,0,3),2,FALSE))</f>
        <v/>
      </c>
      <c r="G46" s="5"/>
      <c r="H46" s="5"/>
      <c r="I46" s="5"/>
      <c r="J46" s="5"/>
      <c r="K46" s="5"/>
      <c r="L46" s="5"/>
      <c r="M46" s="5"/>
      <c r="N46" s="5"/>
      <c r="O46" s="5"/>
      <c r="P46" s="8">
        <f>IF(COUNTA($A46:$D46,G46:N46)=0,"",IF($A46="","Nedostaje godište",IF($E46="","Godište nije obuhvaćeno uzrasnom tabelom",IF($B46="","Nedostaje ime i prezime",IF(NOT(SUMPRODUCT(--ISERROR(FIND(MID($B46&amp;REPT("a",60),ROW($A$1:$A$60),1),"ABCDEFGHIJKLMNOPQRSTUVWXYZabcdefghijklmnopqrstuvwxyzČĆĐŠŽčćđšž -'")))=0),"Ime sadrži znakove koji nisu slova",IF($C46="","Nedostaje pol",IF($D46="","Nedostaje pojas",IF(COUNTA(G46:N46)=0,"Nije izabrana nijedna disciplina",IF(SUMPRODUCT(--(G46:N46&lt;&gt;""),--(COUNTIF(INDIRECT("disc_"&amp;$E46),G46:N46)=0))&gt;0,"Izabrana disciplina nije moguća za uzrast "&amp;$E46,IF(AND(COUNTIF(G46:N46,"Fudokan sport kumite")&gt;0,O46=""),"Nedostaje telesna težina za Fudokan sport kumite",IF(AND(COUNTIF(G46:N46,"Fudokan sport kumite")=0,O46&lt;&gt;""),"Telesna težina se unosi isključivo uz Fudokan sport kumite","prijava je kompletna")))))))))))</f>
        <v/>
      </c>
      <c r="Q46">
        <f>IF($E46="","sve_discipline","disc_"&amp;$E46)</f>
        <v/>
      </c>
      <c r="R46">
        <f>IF(OR($E46="",$C46=""),"sve_kilaze","kg_"&amp;$E46&amp;"_"&amp;IF($C46="ženski","Z","M"))</f>
        <v/>
      </c>
    </row>
    <row r="47" spans="1:18">
      <c r="A47" s="5"/>
      <c r="B47" s="5"/>
      <c r="C47" s="5"/>
      <c r="D47" s="5"/>
      <c r="E47" s="7">
        <f>IF($A47="","",LOOKUP($A47,INDEX(grupe,0,1),INDEX(grupe,0,2)))</f>
        <v/>
      </c>
      <c r="F47" s="7">
        <f>IF($E47="","",VLOOKUP($E47,INDEX(grupe,0,2):INDEX(grupe,0,3),2,FALSE))</f>
        <v/>
      </c>
      <c r="G47" s="5"/>
      <c r="H47" s="5"/>
      <c r="I47" s="5"/>
      <c r="J47" s="5"/>
      <c r="K47" s="5"/>
      <c r="L47" s="5"/>
      <c r="M47" s="5"/>
      <c r="N47" s="5"/>
      <c r="O47" s="5"/>
      <c r="P47" s="8">
        <f>IF(COUNTA($A47:$D47,G47:N47)=0,"",IF($A47="","Nedostaje godište",IF($E47="","Godište nije obuhvaćeno uzrasnom tabelom",IF($B47="","Nedostaje ime i prezime",IF(NOT(SUMPRODUCT(--ISERROR(FIND(MID($B47&amp;REPT("a",60),ROW($A$1:$A$60),1),"ABCDEFGHIJKLMNOPQRSTUVWXYZabcdefghijklmnopqrstuvwxyzČĆĐŠŽčćđšž -'")))=0),"Ime sadrži znakove koji nisu slova",IF($C47="","Nedostaje pol",IF($D47="","Nedostaje pojas",IF(COUNTA(G47:N47)=0,"Nije izabrana nijedna disciplina",IF(SUMPRODUCT(--(G47:N47&lt;&gt;""),--(COUNTIF(INDIRECT("disc_"&amp;$E47),G47:N47)=0))&gt;0,"Izabrana disciplina nije moguća za uzrast "&amp;$E47,IF(AND(COUNTIF(G47:N47,"Fudokan sport kumite")&gt;0,O47=""),"Nedostaje telesna težina za Fudokan sport kumite",IF(AND(COUNTIF(G47:N47,"Fudokan sport kumite")=0,O47&lt;&gt;""),"Telesna težina se unosi isključivo uz Fudokan sport kumite","prijava je kompletna")))))))))))</f>
        <v/>
      </c>
      <c r="Q47">
        <f>IF($E47="","sve_discipline","disc_"&amp;$E47)</f>
        <v/>
      </c>
      <c r="R47">
        <f>IF(OR($E47="",$C47=""),"sve_kilaze","kg_"&amp;$E47&amp;"_"&amp;IF($C47="ženski","Z","M"))</f>
        <v/>
      </c>
    </row>
    <row r="48" spans="1:18">
      <c r="A48" s="5"/>
      <c r="B48" s="5"/>
      <c r="C48" s="5"/>
      <c r="D48" s="5"/>
      <c r="E48" s="7">
        <f>IF($A48="","",LOOKUP($A48,INDEX(grupe,0,1),INDEX(grupe,0,2)))</f>
        <v/>
      </c>
      <c r="F48" s="7">
        <f>IF($E48="","",VLOOKUP($E48,INDEX(grupe,0,2):INDEX(grupe,0,3),2,FALSE))</f>
        <v/>
      </c>
      <c r="G48" s="5"/>
      <c r="H48" s="5"/>
      <c r="I48" s="5"/>
      <c r="J48" s="5"/>
      <c r="K48" s="5"/>
      <c r="L48" s="5"/>
      <c r="M48" s="5"/>
      <c r="N48" s="5"/>
      <c r="O48" s="5"/>
      <c r="P48" s="8">
        <f>IF(COUNTA($A48:$D48,G48:N48)=0,"",IF($A48="","Nedostaje godište",IF($E48="","Godište nije obuhvaćeno uzrasnom tabelom",IF($B48="","Nedostaje ime i prezime",IF(NOT(SUMPRODUCT(--ISERROR(FIND(MID($B48&amp;REPT("a",60),ROW($A$1:$A$60),1),"ABCDEFGHIJKLMNOPQRSTUVWXYZabcdefghijklmnopqrstuvwxyzČĆĐŠŽčćđšž -'")))=0),"Ime sadrži znakove koji nisu slova",IF($C48="","Nedostaje pol",IF($D48="","Nedostaje pojas",IF(COUNTA(G48:N48)=0,"Nije izabrana nijedna disciplina",IF(SUMPRODUCT(--(G48:N48&lt;&gt;""),--(COUNTIF(INDIRECT("disc_"&amp;$E48),G48:N48)=0))&gt;0,"Izabrana disciplina nije moguća za uzrast "&amp;$E48,IF(AND(COUNTIF(G48:N48,"Fudokan sport kumite")&gt;0,O48=""),"Nedostaje telesna težina za Fudokan sport kumite",IF(AND(COUNTIF(G48:N48,"Fudokan sport kumite")=0,O48&lt;&gt;""),"Telesna težina se unosi isključivo uz Fudokan sport kumite","prijava je kompletna")))))))))))</f>
        <v/>
      </c>
      <c r="Q48">
        <f>IF($E48="","sve_discipline","disc_"&amp;$E48)</f>
        <v/>
      </c>
      <c r="R48">
        <f>IF(OR($E48="",$C48=""),"sve_kilaze","kg_"&amp;$E48&amp;"_"&amp;IF($C48="ženski","Z","M"))</f>
        <v/>
      </c>
    </row>
    <row r="49" spans="1:18">
      <c r="A49" s="5"/>
      <c r="B49" s="5"/>
      <c r="C49" s="5"/>
      <c r="D49" s="5"/>
      <c r="E49" s="7">
        <f>IF($A49="","",LOOKUP($A49,INDEX(grupe,0,1),INDEX(grupe,0,2)))</f>
        <v/>
      </c>
      <c r="F49" s="7">
        <f>IF($E49="","",VLOOKUP($E49,INDEX(grupe,0,2):INDEX(grupe,0,3),2,FALSE))</f>
        <v/>
      </c>
      <c r="G49" s="5"/>
      <c r="H49" s="5"/>
      <c r="I49" s="5"/>
      <c r="J49" s="5"/>
      <c r="K49" s="5"/>
      <c r="L49" s="5"/>
      <c r="M49" s="5"/>
      <c r="N49" s="5"/>
      <c r="O49" s="5"/>
      <c r="P49" s="8">
        <f>IF(COUNTA($A49:$D49,G49:N49)=0,"",IF($A49="","Nedostaje godište",IF($E49="","Godište nije obuhvaćeno uzrasnom tabelom",IF($B49="","Nedostaje ime i prezime",IF(NOT(SUMPRODUCT(--ISERROR(FIND(MID($B49&amp;REPT("a",60),ROW($A$1:$A$60),1),"ABCDEFGHIJKLMNOPQRSTUVWXYZabcdefghijklmnopqrstuvwxyzČĆĐŠŽčćđšž -'")))=0),"Ime sadrži znakove koji nisu slova",IF($C49="","Nedostaje pol",IF($D49="","Nedostaje pojas",IF(COUNTA(G49:N49)=0,"Nije izabrana nijedna disciplina",IF(SUMPRODUCT(--(G49:N49&lt;&gt;""),--(COUNTIF(INDIRECT("disc_"&amp;$E49),G49:N49)=0))&gt;0,"Izabrana disciplina nije moguća za uzrast "&amp;$E49,IF(AND(COUNTIF(G49:N49,"Fudokan sport kumite")&gt;0,O49=""),"Nedostaje telesna težina za Fudokan sport kumite",IF(AND(COUNTIF(G49:N49,"Fudokan sport kumite")=0,O49&lt;&gt;""),"Telesna težina se unosi isključivo uz Fudokan sport kumite","prijava je kompletna")))))))))))</f>
        <v/>
      </c>
      <c r="Q49">
        <f>IF($E49="","sve_discipline","disc_"&amp;$E49)</f>
        <v/>
      </c>
      <c r="R49">
        <f>IF(OR($E49="",$C49=""),"sve_kilaze","kg_"&amp;$E49&amp;"_"&amp;IF($C49="ženski","Z","M"))</f>
        <v/>
      </c>
    </row>
    <row r="50" spans="1:18">
      <c r="A50" s="5"/>
      <c r="B50" s="5"/>
      <c r="C50" s="5"/>
      <c r="D50" s="5"/>
      <c r="E50" s="7">
        <f>IF($A50="","",LOOKUP($A50,INDEX(grupe,0,1),INDEX(grupe,0,2)))</f>
        <v/>
      </c>
      <c r="F50" s="7">
        <f>IF($E50="","",VLOOKUP($E50,INDEX(grupe,0,2):INDEX(grupe,0,3),2,FALSE))</f>
        <v/>
      </c>
      <c r="G50" s="5"/>
      <c r="H50" s="5"/>
      <c r="I50" s="5"/>
      <c r="J50" s="5"/>
      <c r="K50" s="5"/>
      <c r="L50" s="5"/>
      <c r="M50" s="5"/>
      <c r="N50" s="5"/>
      <c r="O50" s="5"/>
      <c r="P50" s="8">
        <f>IF(COUNTA($A50:$D50,G50:N50)=0,"",IF($A50="","Nedostaje godište",IF($E50="","Godište nije obuhvaćeno uzrasnom tabelom",IF($B50="","Nedostaje ime i prezime",IF(NOT(SUMPRODUCT(--ISERROR(FIND(MID($B50&amp;REPT("a",60),ROW($A$1:$A$60),1),"ABCDEFGHIJKLMNOPQRSTUVWXYZabcdefghijklmnopqrstuvwxyzČĆĐŠŽčćđšž -'")))=0),"Ime sadrži znakove koji nisu slova",IF($C50="","Nedostaje pol",IF($D50="","Nedostaje pojas",IF(COUNTA(G50:N50)=0,"Nije izabrana nijedna disciplina",IF(SUMPRODUCT(--(G50:N50&lt;&gt;""),--(COUNTIF(INDIRECT("disc_"&amp;$E50),G50:N50)=0))&gt;0,"Izabrana disciplina nije moguća za uzrast "&amp;$E50,IF(AND(COUNTIF(G50:N50,"Fudokan sport kumite")&gt;0,O50=""),"Nedostaje telesna težina za Fudokan sport kumite",IF(AND(COUNTIF(G50:N50,"Fudokan sport kumite")=0,O50&lt;&gt;""),"Telesna težina se unosi isključivo uz Fudokan sport kumite","prijava je kompletna")))))))))))</f>
        <v/>
      </c>
      <c r="Q50">
        <f>IF($E50="","sve_discipline","disc_"&amp;$E50)</f>
        <v/>
      </c>
      <c r="R50">
        <f>IF(OR($E50="",$C50=""),"sve_kilaze","kg_"&amp;$E50&amp;"_"&amp;IF($C50="ženski","Z","M"))</f>
        <v/>
      </c>
    </row>
    <row r="51" spans="1:18">
      <c r="A51" s="5"/>
      <c r="B51" s="5"/>
      <c r="C51" s="5"/>
      <c r="D51" s="5"/>
      <c r="E51" s="7">
        <f>IF($A51="","",LOOKUP($A51,INDEX(grupe,0,1),INDEX(grupe,0,2)))</f>
        <v/>
      </c>
      <c r="F51" s="7">
        <f>IF($E51="","",VLOOKUP($E51,INDEX(grupe,0,2):INDEX(grupe,0,3),2,FALSE))</f>
        <v/>
      </c>
      <c r="G51" s="5"/>
      <c r="H51" s="5"/>
      <c r="I51" s="5"/>
      <c r="J51" s="5"/>
      <c r="K51" s="5"/>
      <c r="L51" s="5"/>
      <c r="M51" s="5"/>
      <c r="N51" s="5"/>
      <c r="O51" s="5"/>
      <c r="P51" s="8">
        <f>IF(COUNTA($A51:$D51,G51:N51)=0,"",IF($A51="","Nedostaje godište",IF($E51="","Godište nije obuhvaćeno uzrasnom tabelom",IF($B51="","Nedostaje ime i prezime",IF(NOT(SUMPRODUCT(--ISERROR(FIND(MID($B51&amp;REPT("a",60),ROW($A$1:$A$60),1),"ABCDEFGHIJKLMNOPQRSTUVWXYZabcdefghijklmnopqrstuvwxyzČĆĐŠŽčćđšž -'")))=0),"Ime sadrži znakove koji nisu slova",IF($C51="","Nedostaje pol",IF($D51="","Nedostaje pojas",IF(COUNTA(G51:N51)=0,"Nije izabrana nijedna disciplina",IF(SUMPRODUCT(--(G51:N51&lt;&gt;""),--(COUNTIF(INDIRECT("disc_"&amp;$E51),G51:N51)=0))&gt;0,"Izabrana disciplina nije moguća za uzrast "&amp;$E51,IF(AND(COUNTIF(G51:N51,"Fudokan sport kumite")&gt;0,O51=""),"Nedostaje telesna težina za Fudokan sport kumite",IF(AND(COUNTIF(G51:N51,"Fudokan sport kumite")=0,O51&lt;&gt;""),"Telesna težina se unosi isključivo uz Fudokan sport kumite","prijava je kompletna")))))))))))</f>
        <v/>
      </c>
      <c r="Q51">
        <f>IF($E51="","sve_discipline","disc_"&amp;$E51)</f>
        <v/>
      </c>
      <c r="R51">
        <f>IF(OR($E51="",$C51=""),"sve_kilaze","kg_"&amp;$E51&amp;"_"&amp;IF($C51="ženski","Z","M"))</f>
        <v/>
      </c>
    </row>
    <row r="52" spans="1:18">
      <c r="A52" s="5"/>
      <c r="B52" s="5"/>
      <c r="C52" s="5"/>
      <c r="D52" s="5"/>
      <c r="E52" s="7">
        <f>IF($A52="","",LOOKUP($A52,INDEX(grupe,0,1),INDEX(grupe,0,2)))</f>
        <v/>
      </c>
      <c r="F52" s="7">
        <f>IF($E52="","",VLOOKUP($E52,INDEX(grupe,0,2):INDEX(grupe,0,3),2,FALSE))</f>
        <v/>
      </c>
      <c r="G52" s="5"/>
      <c r="H52" s="5"/>
      <c r="I52" s="5"/>
      <c r="J52" s="5"/>
      <c r="K52" s="5"/>
      <c r="L52" s="5"/>
      <c r="M52" s="5"/>
      <c r="N52" s="5"/>
      <c r="O52" s="5"/>
      <c r="P52" s="8">
        <f>IF(COUNTA($A52:$D52,G52:N52)=0,"",IF($A52="","Nedostaje godište",IF($E52="","Godište nije obuhvaćeno uzrasnom tabelom",IF($B52="","Nedostaje ime i prezime",IF(NOT(SUMPRODUCT(--ISERROR(FIND(MID($B52&amp;REPT("a",60),ROW($A$1:$A$60),1),"ABCDEFGHIJKLMNOPQRSTUVWXYZabcdefghijklmnopqrstuvwxyzČĆĐŠŽčćđšž -'")))=0),"Ime sadrži znakove koji nisu slova",IF($C52="","Nedostaje pol",IF($D52="","Nedostaje pojas",IF(COUNTA(G52:N52)=0,"Nije izabrana nijedna disciplina",IF(SUMPRODUCT(--(G52:N52&lt;&gt;""),--(COUNTIF(INDIRECT("disc_"&amp;$E52),G52:N52)=0))&gt;0,"Izabrana disciplina nije moguća za uzrast "&amp;$E52,IF(AND(COUNTIF(G52:N52,"Fudokan sport kumite")&gt;0,O52=""),"Nedostaje telesna težina za Fudokan sport kumite",IF(AND(COUNTIF(G52:N52,"Fudokan sport kumite")=0,O52&lt;&gt;""),"Telesna težina se unosi isključivo uz Fudokan sport kumite","prijava je kompletna")))))))))))</f>
        <v/>
      </c>
      <c r="Q52">
        <f>IF($E52="","sve_discipline","disc_"&amp;$E52)</f>
        <v/>
      </c>
      <c r="R52">
        <f>IF(OR($E52="",$C52=""),"sve_kilaze","kg_"&amp;$E52&amp;"_"&amp;IF($C52="ženski","Z","M"))</f>
        <v/>
      </c>
    </row>
    <row r="53" spans="1:18">
      <c r="A53" s="5"/>
      <c r="B53" s="5"/>
      <c r="C53" s="5"/>
      <c r="D53" s="5"/>
      <c r="E53" s="7">
        <f>IF($A53="","",LOOKUP($A53,INDEX(grupe,0,1),INDEX(grupe,0,2)))</f>
        <v/>
      </c>
      <c r="F53" s="7">
        <f>IF($E53="","",VLOOKUP($E53,INDEX(grupe,0,2):INDEX(grupe,0,3),2,FALSE))</f>
        <v/>
      </c>
      <c r="G53" s="5"/>
      <c r="H53" s="5"/>
      <c r="I53" s="5"/>
      <c r="J53" s="5"/>
      <c r="K53" s="5"/>
      <c r="L53" s="5"/>
      <c r="M53" s="5"/>
      <c r="N53" s="5"/>
      <c r="O53" s="5"/>
      <c r="P53" s="8">
        <f>IF(COUNTA($A53:$D53,G53:N53)=0,"",IF($A53="","Nedostaje godište",IF($E53="","Godište nije obuhvaćeno uzrasnom tabelom",IF($B53="","Nedostaje ime i prezime",IF(NOT(SUMPRODUCT(--ISERROR(FIND(MID($B53&amp;REPT("a",60),ROW($A$1:$A$60),1),"ABCDEFGHIJKLMNOPQRSTUVWXYZabcdefghijklmnopqrstuvwxyzČĆĐŠŽčćđšž -'")))=0),"Ime sadrži znakove koji nisu slova",IF($C53="","Nedostaje pol",IF($D53="","Nedostaje pojas",IF(COUNTA(G53:N53)=0,"Nije izabrana nijedna disciplina",IF(SUMPRODUCT(--(G53:N53&lt;&gt;""),--(COUNTIF(INDIRECT("disc_"&amp;$E53),G53:N53)=0))&gt;0,"Izabrana disciplina nije moguća za uzrast "&amp;$E53,IF(AND(COUNTIF(G53:N53,"Fudokan sport kumite")&gt;0,O53=""),"Nedostaje telesna težina za Fudokan sport kumite",IF(AND(COUNTIF(G53:N53,"Fudokan sport kumite")=0,O53&lt;&gt;""),"Telesna težina se unosi isključivo uz Fudokan sport kumite","prijava je kompletna")))))))))))</f>
        <v/>
      </c>
      <c r="Q53">
        <f>IF($E53="","sve_discipline","disc_"&amp;$E53)</f>
        <v/>
      </c>
      <c r="R53">
        <f>IF(OR($E53="",$C53=""),"sve_kilaze","kg_"&amp;$E53&amp;"_"&amp;IF($C53="ženski","Z","M"))</f>
        <v/>
      </c>
    </row>
    <row r="54" spans="1:18">
      <c r="A54" s="5"/>
      <c r="B54" s="5"/>
      <c r="C54" s="5"/>
      <c r="D54" s="5"/>
      <c r="E54" s="7">
        <f>IF($A54="","",LOOKUP($A54,INDEX(grupe,0,1),INDEX(grupe,0,2)))</f>
        <v/>
      </c>
      <c r="F54" s="7">
        <f>IF($E54="","",VLOOKUP($E54,INDEX(grupe,0,2):INDEX(grupe,0,3),2,FALSE))</f>
        <v/>
      </c>
      <c r="G54" s="5"/>
      <c r="H54" s="5"/>
      <c r="I54" s="5"/>
      <c r="J54" s="5"/>
      <c r="K54" s="5"/>
      <c r="L54" s="5"/>
      <c r="M54" s="5"/>
      <c r="N54" s="5"/>
      <c r="O54" s="5"/>
      <c r="P54" s="8">
        <f>IF(COUNTA($A54:$D54,G54:N54)=0,"",IF($A54="","Nedostaje godište",IF($E54="","Godište nije obuhvaćeno uzrasnom tabelom",IF($B54="","Nedostaje ime i prezime",IF(NOT(SUMPRODUCT(--ISERROR(FIND(MID($B54&amp;REPT("a",60),ROW($A$1:$A$60),1),"ABCDEFGHIJKLMNOPQRSTUVWXYZabcdefghijklmnopqrstuvwxyzČĆĐŠŽčćđšž -'")))=0),"Ime sadrži znakove koji nisu slova",IF($C54="","Nedostaje pol",IF($D54="","Nedostaje pojas",IF(COUNTA(G54:N54)=0,"Nije izabrana nijedna disciplina",IF(SUMPRODUCT(--(G54:N54&lt;&gt;""),--(COUNTIF(INDIRECT("disc_"&amp;$E54),G54:N54)=0))&gt;0,"Izabrana disciplina nije moguća za uzrast "&amp;$E54,IF(AND(COUNTIF(G54:N54,"Fudokan sport kumite")&gt;0,O54=""),"Nedostaje telesna težina za Fudokan sport kumite",IF(AND(COUNTIF(G54:N54,"Fudokan sport kumite")=0,O54&lt;&gt;""),"Telesna težina se unosi isključivo uz Fudokan sport kumite","prijava je kompletna")))))))))))</f>
        <v/>
      </c>
      <c r="Q54">
        <f>IF($E54="","sve_discipline","disc_"&amp;$E54)</f>
        <v/>
      </c>
      <c r="R54">
        <f>IF(OR($E54="",$C54=""),"sve_kilaze","kg_"&amp;$E54&amp;"_"&amp;IF($C54="ženski","Z","M"))</f>
        <v/>
      </c>
    </row>
    <row r="55" spans="1:18">
      <c r="A55" s="5"/>
      <c r="B55" s="5"/>
      <c r="C55" s="5"/>
      <c r="D55" s="5"/>
      <c r="E55" s="7">
        <f>IF($A55="","",LOOKUP($A55,INDEX(grupe,0,1),INDEX(grupe,0,2)))</f>
        <v/>
      </c>
      <c r="F55" s="7">
        <f>IF($E55="","",VLOOKUP($E55,INDEX(grupe,0,2):INDEX(grupe,0,3),2,FALSE))</f>
        <v/>
      </c>
      <c r="G55" s="5"/>
      <c r="H55" s="5"/>
      <c r="I55" s="5"/>
      <c r="J55" s="5"/>
      <c r="K55" s="5"/>
      <c r="L55" s="5"/>
      <c r="M55" s="5"/>
      <c r="N55" s="5"/>
      <c r="O55" s="5"/>
      <c r="P55" s="8">
        <f>IF(COUNTA($A55:$D55,G55:N55)=0,"",IF($A55="","Nedostaje godište",IF($E55="","Godište nije obuhvaćeno uzrasnom tabelom",IF($B55="","Nedostaje ime i prezime",IF(NOT(SUMPRODUCT(--ISERROR(FIND(MID($B55&amp;REPT("a",60),ROW($A$1:$A$60),1),"ABCDEFGHIJKLMNOPQRSTUVWXYZabcdefghijklmnopqrstuvwxyzČĆĐŠŽčćđšž -'")))=0),"Ime sadrži znakove koji nisu slova",IF($C55="","Nedostaje pol",IF($D55="","Nedostaje pojas",IF(COUNTA(G55:N55)=0,"Nije izabrana nijedna disciplina",IF(SUMPRODUCT(--(G55:N55&lt;&gt;""),--(COUNTIF(INDIRECT("disc_"&amp;$E55),G55:N55)=0))&gt;0,"Izabrana disciplina nije moguća za uzrast "&amp;$E55,IF(AND(COUNTIF(G55:N55,"Fudokan sport kumite")&gt;0,O55=""),"Nedostaje telesna težina za Fudokan sport kumite",IF(AND(COUNTIF(G55:N55,"Fudokan sport kumite")=0,O55&lt;&gt;""),"Telesna težina se unosi isključivo uz Fudokan sport kumite","prijava je kompletna")))))))))))</f>
        <v/>
      </c>
      <c r="Q55">
        <f>IF($E55="","sve_discipline","disc_"&amp;$E55)</f>
        <v/>
      </c>
      <c r="R55">
        <f>IF(OR($E55="",$C55=""),"sve_kilaze","kg_"&amp;$E55&amp;"_"&amp;IF($C55="ženski","Z","M"))</f>
        <v/>
      </c>
    </row>
    <row r="56" spans="1:18">
      <c r="A56" s="5"/>
      <c r="B56" s="5"/>
      <c r="C56" s="5"/>
      <c r="D56" s="5"/>
      <c r="E56" s="7">
        <f>IF($A56="","",LOOKUP($A56,INDEX(grupe,0,1),INDEX(grupe,0,2)))</f>
        <v/>
      </c>
      <c r="F56" s="7">
        <f>IF($E56="","",VLOOKUP($E56,INDEX(grupe,0,2):INDEX(grupe,0,3),2,FALSE))</f>
        <v/>
      </c>
      <c r="G56" s="5"/>
      <c r="H56" s="5"/>
      <c r="I56" s="5"/>
      <c r="J56" s="5"/>
      <c r="K56" s="5"/>
      <c r="L56" s="5"/>
      <c r="M56" s="5"/>
      <c r="N56" s="5"/>
      <c r="O56" s="5"/>
      <c r="P56" s="8">
        <f>IF(COUNTA($A56:$D56,G56:N56)=0,"",IF($A56="","Nedostaje godište",IF($E56="","Godište nije obuhvaćeno uzrasnom tabelom",IF($B56="","Nedostaje ime i prezime",IF(NOT(SUMPRODUCT(--ISERROR(FIND(MID($B56&amp;REPT("a",60),ROW($A$1:$A$60),1),"ABCDEFGHIJKLMNOPQRSTUVWXYZabcdefghijklmnopqrstuvwxyzČĆĐŠŽčćđšž -'")))=0),"Ime sadrži znakove koji nisu slova",IF($C56="","Nedostaje pol",IF($D56="","Nedostaje pojas",IF(COUNTA(G56:N56)=0,"Nije izabrana nijedna disciplina",IF(SUMPRODUCT(--(G56:N56&lt;&gt;""),--(COUNTIF(INDIRECT("disc_"&amp;$E56),G56:N56)=0))&gt;0,"Izabrana disciplina nije moguća za uzrast "&amp;$E56,IF(AND(COUNTIF(G56:N56,"Fudokan sport kumite")&gt;0,O56=""),"Nedostaje telesna težina za Fudokan sport kumite",IF(AND(COUNTIF(G56:N56,"Fudokan sport kumite")=0,O56&lt;&gt;""),"Telesna težina se unosi isključivo uz Fudokan sport kumite","prijava je kompletna")))))))))))</f>
        <v/>
      </c>
      <c r="Q56">
        <f>IF($E56="","sve_discipline","disc_"&amp;$E56)</f>
        <v/>
      </c>
      <c r="R56">
        <f>IF(OR($E56="",$C56=""),"sve_kilaze","kg_"&amp;$E56&amp;"_"&amp;IF($C56="ženski","Z","M"))</f>
        <v/>
      </c>
    </row>
    <row r="57" spans="1:18">
      <c r="A57" s="5"/>
      <c r="B57" s="5"/>
      <c r="C57" s="5"/>
      <c r="D57" s="5"/>
      <c r="E57" s="7">
        <f>IF($A57="","",LOOKUP($A57,INDEX(grupe,0,1),INDEX(grupe,0,2)))</f>
        <v/>
      </c>
      <c r="F57" s="7">
        <f>IF($E57="","",VLOOKUP($E57,INDEX(grupe,0,2):INDEX(grupe,0,3),2,FALSE))</f>
        <v/>
      </c>
      <c r="G57" s="5"/>
      <c r="H57" s="5"/>
      <c r="I57" s="5"/>
      <c r="J57" s="5"/>
      <c r="K57" s="5"/>
      <c r="L57" s="5"/>
      <c r="M57" s="5"/>
      <c r="N57" s="5"/>
      <c r="O57" s="5"/>
      <c r="P57" s="8">
        <f>IF(COUNTA($A57:$D57,G57:N57)=0,"",IF($A57="","Nedostaje godište",IF($E57="","Godište nije obuhvaćeno uzrasnom tabelom",IF($B57="","Nedostaje ime i prezime",IF(NOT(SUMPRODUCT(--ISERROR(FIND(MID($B57&amp;REPT("a",60),ROW($A$1:$A$60),1),"ABCDEFGHIJKLMNOPQRSTUVWXYZabcdefghijklmnopqrstuvwxyzČĆĐŠŽčćđšž -'")))=0),"Ime sadrži znakove koji nisu slova",IF($C57="","Nedostaje pol",IF($D57="","Nedostaje pojas",IF(COUNTA(G57:N57)=0,"Nije izabrana nijedna disciplina",IF(SUMPRODUCT(--(G57:N57&lt;&gt;""),--(COUNTIF(INDIRECT("disc_"&amp;$E57),G57:N57)=0))&gt;0,"Izabrana disciplina nije moguća za uzrast "&amp;$E57,IF(AND(COUNTIF(G57:N57,"Fudokan sport kumite")&gt;0,O57=""),"Nedostaje telesna težina za Fudokan sport kumite",IF(AND(COUNTIF(G57:N57,"Fudokan sport kumite")=0,O57&lt;&gt;""),"Telesna težina se unosi isključivo uz Fudokan sport kumite","prijava je kompletna")))))))))))</f>
        <v/>
      </c>
      <c r="Q57">
        <f>IF($E57="","sve_discipline","disc_"&amp;$E57)</f>
        <v/>
      </c>
      <c r="R57">
        <f>IF(OR($E57="",$C57=""),"sve_kilaze","kg_"&amp;$E57&amp;"_"&amp;IF($C57="ženski","Z","M"))</f>
        <v/>
      </c>
    </row>
    <row r="58" spans="1:18">
      <c r="A58" s="5"/>
      <c r="B58" s="5"/>
      <c r="C58" s="5"/>
      <c r="D58" s="5"/>
      <c r="E58" s="7">
        <f>IF($A58="","",LOOKUP($A58,INDEX(grupe,0,1),INDEX(grupe,0,2)))</f>
        <v/>
      </c>
      <c r="F58" s="7">
        <f>IF($E58="","",VLOOKUP($E58,INDEX(grupe,0,2):INDEX(grupe,0,3),2,FALSE))</f>
        <v/>
      </c>
      <c r="G58" s="5"/>
      <c r="H58" s="5"/>
      <c r="I58" s="5"/>
      <c r="J58" s="5"/>
      <c r="K58" s="5"/>
      <c r="L58" s="5"/>
      <c r="M58" s="5"/>
      <c r="N58" s="5"/>
      <c r="O58" s="5"/>
      <c r="P58" s="8">
        <f>IF(COUNTA($A58:$D58,G58:N58)=0,"",IF($A58="","Nedostaje godište",IF($E58="","Godište nije obuhvaćeno uzrasnom tabelom",IF($B58="","Nedostaje ime i prezime",IF(NOT(SUMPRODUCT(--ISERROR(FIND(MID($B58&amp;REPT("a",60),ROW($A$1:$A$60),1),"ABCDEFGHIJKLMNOPQRSTUVWXYZabcdefghijklmnopqrstuvwxyzČĆĐŠŽčćđšž -'")))=0),"Ime sadrži znakove koji nisu slova",IF($C58="","Nedostaje pol",IF($D58="","Nedostaje pojas",IF(COUNTA(G58:N58)=0,"Nije izabrana nijedna disciplina",IF(SUMPRODUCT(--(G58:N58&lt;&gt;""),--(COUNTIF(INDIRECT("disc_"&amp;$E58),G58:N58)=0))&gt;0,"Izabrana disciplina nije moguća za uzrast "&amp;$E58,IF(AND(COUNTIF(G58:N58,"Fudokan sport kumite")&gt;0,O58=""),"Nedostaje telesna težina za Fudokan sport kumite",IF(AND(COUNTIF(G58:N58,"Fudokan sport kumite")=0,O58&lt;&gt;""),"Telesna težina se unosi isključivo uz Fudokan sport kumite","prijava je kompletna")))))))))))</f>
        <v/>
      </c>
      <c r="Q58">
        <f>IF($E58="","sve_discipline","disc_"&amp;$E58)</f>
        <v/>
      </c>
      <c r="R58">
        <f>IF(OR($E58="",$C58=""),"sve_kilaze","kg_"&amp;$E58&amp;"_"&amp;IF($C58="ženski","Z","M"))</f>
        <v/>
      </c>
    </row>
    <row r="59" spans="1:18">
      <c r="A59" s="5"/>
      <c r="B59" s="5"/>
      <c r="C59" s="5"/>
      <c r="D59" s="5"/>
      <c r="E59" s="7">
        <f>IF($A59="","",LOOKUP($A59,INDEX(grupe,0,1),INDEX(grupe,0,2)))</f>
        <v/>
      </c>
      <c r="F59" s="7">
        <f>IF($E59="","",VLOOKUP($E59,INDEX(grupe,0,2):INDEX(grupe,0,3),2,FALSE))</f>
        <v/>
      </c>
      <c r="G59" s="5"/>
      <c r="H59" s="5"/>
      <c r="I59" s="5"/>
      <c r="J59" s="5"/>
      <c r="K59" s="5"/>
      <c r="L59" s="5"/>
      <c r="M59" s="5"/>
      <c r="N59" s="5"/>
      <c r="O59" s="5"/>
      <c r="P59" s="8">
        <f>IF(COUNTA($A59:$D59,G59:N59)=0,"",IF($A59="","Nedostaje godište",IF($E59="","Godište nije obuhvaćeno uzrasnom tabelom",IF($B59="","Nedostaje ime i prezime",IF(NOT(SUMPRODUCT(--ISERROR(FIND(MID($B59&amp;REPT("a",60),ROW($A$1:$A$60),1),"ABCDEFGHIJKLMNOPQRSTUVWXYZabcdefghijklmnopqrstuvwxyzČĆĐŠŽčćđšž -'")))=0),"Ime sadrži znakove koji nisu slova",IF($C59="","Nedostaje pol",IF($D59="","Nedostaje pojas",IF(COUNTA(G59:N59)=0,"Nije izabrana nijedna disciplina",IF(SUMPRODUCT(--(G59:N59&lt;&gt;""),--(COUNTIF(INDIRECT("disc_"&amp;$E59),G59:N59)=0))&gt;0,"Izabrana disciplina nije moguća za uzrast "&amp;$E59,IF(AND(COUNTIF(G59:N59,"Fudokan sport kumite")&gt;0,O59=""),"Nedostaje telesna težina za Fudokan sport kumite",IF(AND(COUNTIF(G59:N59,"Fudokan sport kumite")=0,O59&lt;&gt;""),"Telesna težina se unosi isključivo uz Fudokan sport kumite","prijava je kompletna")))))))))))</f>
        <v/>
      </c>
      <c r="Q59">
        <f>IF($E59="","sve_discipline","disc_"&amp;$E59)</f>
        <v/>
      </c>
      <c r="R59">
        <f>IF(OR($E59="",$C59=""),"sve_kilaze","kg_"&amp;$E59&amp;"_"&amp;IF($C59="ženski","Z","M"))</f>
        <v/>
      </c>
    </row>
    <row r="60" spans="1:18">
      <c r="A60" s="5"/>
      <c r="B60" s="5"/>
      <c r="C60" s="5"/>
      <c r="D60" s="5"/>
      <c r="E60" s="7">
        <f>IF($A60="","",LOOKUP($A60,INDEX(grupe,0,1),INDEX(grupe,0,2)))</f>
        <v/>
      </c>
      <c r="F60" s="7">
        <f>IF($E60="","",VLOOKUP($E60,INDEX(grupe,0,2):INDEX(grupe,0,3),2,FALSE))</f>
        <v/>
      </c>
      <c r="G60" s="5"/>
      <c r="H60" s="5"/>
      <c r="I60" s="5"/>
      <c r="J60" s="5"/>
      <c r="K60" s="5"/>
      <c r="L60" s="5"/>
      <c r="M60" s="5"/>
      <c r="N60" s="5"/>
      <c r="O60" s="5"/>
      <c r="P60" s="8">
        <f>IF(COUNTA($A60:$D60,G60:N60)=0,"",IF($A60="","Nedostaje godište",IF($E60="","Godište nije obuhvaćeno uzrasnom tabelom",IF($B60="","Nedostaje ime i prezime",IF(NOT(SUMPRODUCT(--ISERROR(FIND(MID($B60&amp;REPT("a",60),ROW($A$1:$A$60),1),"ABCDEFGHIJKLMNOPQRSTUVWXYZabcdefghijklmnopqrstuvwxyzČĆĐŠŽčćđšž -'")))=0),"Ime sadrži znakove koji nisu slova",IF($C60="","Nedostaje pol",IF($D60="","Nedostaje pojas",IF(COUNTA(G60:N60)=0,"Nije izabrana nijedna disciplina",IF(SUMPRODUCT(--(G60:N60&lt;&gt;""),--(COUNTIF(INDIRECT("disc_"&amp;$E60),G60:N60)=0))&gt;0,"Izabrana disciplina nije moguća za uzrast "&amp;$E60,IF(AND(COUNTIF(G60:N60,"Fudokan sport kumite")&gt;0,O60=""),"Nedostaje telesna težina za Fudokan sport kumite",IF(AND(COUNTIF(G60:N60,"Fudokan sport kumite")=0,O60&lt;&gt;""),"Telesna težina se unosi isključivo uz Fudokan sport kumite","prijava je kompletna")))))))))))</f>
        <v/>
      </c>
      <c r="Q60">
        <f>IF($E60="","sve_discipline","disc_"&amp;$E60)</f>
        <v/>
      </c>
      <c r="R60">
        <f>IF(OR($E60="",$C60=""),"sve_kilaze","kg_"&amp;$E60&amp;"_"&amp;IF($C60="ženski","Z","M"))</f>
        <v/>
      </c>
    </row>
    <row r="61" spans="1:18">
      <c r="A61" s="5"/>
      <c r="B61" s="5"/>
      <c r="C61" s="5"/>
      <c r="D61" s="5"/>
      <c r="E61" s="7">
        <f>IF($A61="","",LOOKUP($A61,INDEX(grupe,0,1),INDEX(grupe,0,2)))</f>
        <v/>
      </c>
      <c r="F61" s="7">
        <f>IF($E61="","",VLOOKUP($E61,INDEX(grupe,0,2):INDEX(grupe,0,3),2,FALSE))</f>
        <v/>
      </c>
      <c r="G61" s="5"/>
      <c r="H61" s="5"/>
      <c r="I61" s="5"/>
      <c r="J61" s="5"/>
      <c r="K61" s="5"/>
      <c r="L61" s="5"/>
      <c r="M61" s="5"/>
      <c r="N61" s="5"/>
      <c r="O61" s="5"/>
      <c r="P61" s="8">
        <f>IF(COUNTA($A61:$D61,G61:N61)=0,"",IF($A61="","Nedostaje godište",IF($E61="","Godište nije obuhvaćeno uzrasnom tabelom",IF($B61="","Nedostaje ime i prezime",IF(NOT(SUMPRODUCT(--ISERROR(FIND(MID($B61&amp;REPT("a",60),ROW($A$1:$A$60),1),"ABCDEFGHIJKLMNOPQRSTUVWXYZabcdefghijklmnopqrstuvwxyzČĆĐŠŽčćđšž -'")))=0),"Ime sadrži znakove koji nisu slova",IF($C61="","Nedostaje pol",IF($D61="","Nedostaje pojas",IF(COUNTA(G61:N61)=0,"Nije izabrana nijedna disciplina",IF(SUMPRODUCT(--(G61:N61&lt;&gt;""),--(COUNTIF(INDIRECT("disc_"&amp;$E61),G61:N61)=0))&gt;0,"Izabrana disciplina nije moguća za uzrast "&amp;$E61,IF(AND(COUNTIF(G61:N61,"Fudokan sport kumite")&gt;0,O61=""),"Nedostaje telesna težina za Fudokan sport kumite",IF(AND(COUNTIF(G61:N61,"Fudokan sport kumite")=0,O61&lt;&gt;""),"Telesna težina se unosi isključivo uz Fudokan sport kumite","prijava je kompletna")))))))))))</f>
        <v/>
      </c>
      <c r="Q61">
        <f>IF($E61="","sve_discipline","disc_"&amp;$E61)</f>
        <v/>
      </c>
      <c r="R61">
        <f>IF(OR($E61="",$C61=""),"sve_kilaze","kg_"&amp;$E61&amp;"_"&amp;IF($C61="ženski","Z","M"))</f>
        <v/>
      </c>
    </row>
    <row r="62" spans="1:18">
      <c r="A62" s="5"/>
      <c r="B62" s="5"/>
      <c r="C62" s="5"/>
      <c r="D62" s="5"/>
      <c r="E62" s="7">
        <f>IF($A62="","",LOOKUP($A62,INDEX(grupe,0,1),INDEX(grupe,0,2)))</f>
        <v/>
      </c>
      <c r="F62" s="7">
        <f>IF($E62="","",VLOOKUP($E62,INDEX(grupe,0,2):INDEX(grupe,0,3),2,FALSE))</f>
        <v/>
      </c>
      <c r="G62" s="5"/>
      <c r="H62" s="5"/>
      <c r="I62" s="5"/>
      <c r="J62" s="5"/>
      <c r="K62" s="5"/>
      <c r="L62" s="5"/>
      <c r="M62" s="5"/>
      <c r="N62" s="5"/>
      <c r="O62" s="5"/>
      <c r="P62" s="8">
        <f>IF(COUNTA($A62:$D62,G62:N62)=0,"",IF($A62="","Nedostaje godište",IF($E62="","Godište nije obuhvaćeno uzrasnom tabelom",IF($B62="","Nedostaje ime i prezime",IF(NOT(SUMPRODUCT(--ISERROR(FIND(MID($B62&amp;REPT("a",60),ROW($A$1:$A$60),1),"ABCDEFGHIJKLMNOPQRSTUVWXYZabcdefghijklmnopqrstuvwxyzČĆĐŠŽčćđšž -'")))=0),"Ime sadrži znakove koji nisu slova",IF($C62="","Nedostaje pol",IF($D62="","Nedostaje pojas",IF(COUNTA(G62:N62)=0,"Nije izabrana nijedna disciplina",IF(SUMPRODUCT(--(G62:N62&lt;&gt;""),--(COUNTIF(INDIRECT("disc_"&amp;$E62),G62:N62)=0))&gt;0,"Izabrana disciplina nije moguća za uzrast "&amp;$E62,IF(AND(COUNTIF(G62:N62,"Fudokan sport kumite")&gt;0,O62=""),"Nedostaje telesna težina za Fudokan sport kumite",IF(AND(COUNTIF(G62:N62,"Fudokan sport kumite")=0,O62&lt;&gt;""),"Telesna težina se unosi isključivo uz Fudokan sport kumite","prijava je kompletna")))))))))))</f>
        <v/>
      </c>
      <c r="Q62">
        <f>IF($E62="","sve_discipline","disc_"&amp;$E62)</f>
        <v/>
      </c>
      <c r="R62">
        <f>IF(OR($E62="",$C62=""),"sve_kilaze","kg_"&amp;$E62&amp;"_"&amp;IF($C62="ženski","Z","M"))</f>
        <v/>
      </c>
    </row>
    <row r="63" spans="1:18">
      <c r="A63" s="5"/>
      <c r="B63" s="5"/>
      <c r="C63" s="5"/>
      <c r="D63" s="5"/>
      <c r="E63" s="7">
        <f>IF($A63="","",LOOKUP($A63,INDEX(grupe,0,1),INDEX(grupe,0,2)))</f>
        <v/>
      </c>
      <c r="F63" s="7">
        <f>IF($E63="","",VLOOKUP($E63,INDEX(grupe,0,2):INDEX(grupe,0,3),2,FALSE))</f>
        <v/>
      </c>
      <c r="G63" s="5"/>
      <c r="H63" s="5"/>
      <c r="I63" s="5"/>
      <c r="J63" s="5"/>
      <c r="K63" s="5"/>
      <c r="L63" s="5"/>
      <c r="M63" s="5"/>
      <c r="N63" s="5"/>
      <c r="O63" s="5"/>
      <c r="P63" s="8">
        <f>IF(COUNTA($A63:$D63,G63:N63)=0,"",IF($A63="","Nedostaje godište",IF($E63="","Godište nije obuhvaćeno uzrasnom tabelom",IF($B63="","Nedostaje ime i prezime",IF(NOT(SUMPRODUCT(--ISERROR(FIND(MID($B63&amp;REPT("a",60),ROW($A$1:$A$60),1),"ABCDEFGHIJKLMNOPQRSTUVWXYZabcdefghijklmnopqrstuvwxyzČĆĐŠŽčćđšž -'")))=0),"Ime sadrži znakove koji nisu slova",IF($C63="","Nedostaje pol",IF($D63="","Nedostaje pojas",IF(COUNTA(G63:N63)=0,"Nije izabrana nijedna disciplina",IF(SUMPRODUCT(--(G63:N63&lt;&gt;""),--(COUNTIF(INDIRECT("disc_"&amp;$E63),G63:N63)=0))&gt;0,"Izabrana disciplina nije moguća za uzrast "&amp;$E63,IF(AND(COUNTIF(G63:N63,"Fudokan sport kumite")&gt;0,O63=""),"Nedostaje telesna težina za Fudokan sport kumite",IF(AND(COUNTIF(G63:N63,"Fudokan sport kumite")=0,O63&lt;&gt;""),"Telesna težina se unosi isključivo uz Fudokan sport kumite","prijava je kompletna")))))))))))</f>
        <v/>
      </c>
      <c r="Q63">
        <f>IF($E63="","sve_discipline","disc_"&amp;$E63)</f>
        <v/>
      </c>
      <c r="R63">
        <f>IF(OR($E63="",$C63=""),"sve_kilaze","kg_"&amp;$E63&amp;"_"&amp;IF($C63="ženski","Z","M"))</f>
        <v/>
      </c>
    </row>
    <row r="64" spans="1:18">
      <c r="A64" s="5"/>
      <c r="B64" s="5"/>
      <c r="C64" s="5"/>
      <c r="D64" s="5"/>
      <c r="E64" s="7">
        <f>IF($A64="","",LOOKUP($A64,INDEX(grupe,0,1),INDEX(grupe,0,2)))</f>
        <v/>
      </c>
      <c r="F64" s="7">
        <f>IF($E64="","",VLOOKUP($E64,INDEX(grupe,0,2):INDEX(grupe,0,3),2,FALSE))</f>
        <v/>
      </c>
      <c r="G64" s="5"/>
      <c r="H64" s="5"/>
      <c r="I64" s="5"/>
      <c r="J64" s="5"/>
      <c r="K64" s="5"/>
      <c r="L64" s="5"/>
      <c r="M64" s="5"/>
      <c r="N64" s="5"/>
      <c r="O64" s="5"/>
      <c r="P64" s="8">
        <f>IF(COUNTA($A64:$D64,G64:N64)=0,"",IF($A64="","Nedostaje godište",IF($E64="","Godište nije obuhvaćeno uzrasnom tabelom",IF($B64="","Nedostaje ime i prezime",IF(NOT(SUMPRODUCT(--ISERROR(FIND(MID($B64&amp;REPT("a",60),ROW($A$1:$A$60),1),"ABCDEFGHIJKLMNOPQRSTUVWXYZabcdefghijklmnopqrstuvwxyzČĆĐŠŽčćđšž -'")))=0),"Ime sadrži znakove koji nisu slova",IF($C64="","Nedostaje pol",IF($D64="","Nedostaje pojas",IF(COUNTA(G64:N64)=0,"Nije izabrana nijedna disciplina",IF(SUMPRODUCT(--(G64:N64&lt;&gt;""),--(COUNTIF(INDIRECT("disc_"&amp;$E64),G64:N64)=0))&gt;0,"Izabrana disciplina nije moguća za uzrast "&amp;$E64,IF(AND(COUNTIF(G64:N64,"Fudokan sport kumite")&gt;0,O64=""),"Nedostaje telesna težina za Fudokan sport kumite",IF(AND(COUNTIF(G64:N64,"Fudokan sport kumite")=0,O64&lt;&gt;""),"Telesna težina se unosi isključivo uz Fudokan sport kumite","prijava je kompletna")))))))))))</f>
        <v/>
      </c>
      <c r="Q64">
        <f>IF($E64="","sve_discipline","disc_"&amp;$E64)</f>
        <v/>
      </c>
      <c r="R64">
        <f>IF(OR($E64="",$C64=""),"sve_kilaze","kg_"&amp;$E64&amp;"_"&amp;IF($C64="ženski","Z","M"))</f>
        <v/>
      </c>
    </row>
    <row r="65" spans="1:18">
      <c r="A65" s="5"/>
      <c r="B65" s="5"/>
      <c r="C65" s="5"/>
      <c r="D65" s="5"/>
      <c r="E65" s="7">
        <f>IF($A65="","",LOOKUP($A65,INDEX(grupe,0,1),INDEX(grupe,0,2)))</f>
        <v/>
      </c>
      <c r="F65" s="7">
        <f>IF($E65="","",VLOOKUP($E65,INDEX(grupe,0,2):INDEX(grupe,0,3),2,FALSE))</f>
        <v/>
      </c>
      <c r="G65" s="5"/>
      <c r="H65" s="5"/>
      <c r="I65" s="5"/>
      <c r="J65" s="5"/>
      <c r="K65" s="5"/>
      <c r="L65" s="5"/>
      <c r="M65" s="5"/>
      <c r="N65" s="5"/>
      <c r="O65" s="5"/>
      <c r="P65" s="8">
        <f>IF(COUNTA($A65:$D65,G65:N65)=0,"",IF($A65="","Nedostaje godište",IF($E65="","Godište nije obuhvaćeno uzrasnom tabelom",IF($B65="","Nedostaje ime i prezime",IF(NOT(SUMPRODUCT(--ISERROR(FIND(MID($B65&amp;REPT("a",60),ROW($A$1:$A$60),1),"ABCDEFGHIJKLMNOPQRSTUVWXYZabcdefghijklmnopqrstuvwxyzČĆĐŠŽčćđšž -'")))=0),"Ime sadrži znakove koji nisu slova",IF($C65="","Nedostaje pol",IF($D65="","Nedostaje pojas",IF(COUNTA(G65:N65)=0,"Nije izabrana nijedna disciplina",IF(SUMPRODUCT(--(G65:N65&lt;&gt;""),--(COUNTIF(INDIRECT("disc_"&amp;$E65),G65:N65)=0))&gt;0,"Izabrana disciplina nije moguća za uzrast "&amp;$E65,IF(AND(COUNTIF(G65:N65,"Fudokan sport kumite")&gt;0,O65=""),"Nedostaje telesna težina za Fudokan sport kumite",IF(AND(COUNTIF(G65:N65,"Fudokan sport kumite")=0,O65&lt;&gt;""),"Telesna težina se unosi isključivo uz Fudokan sport kumite","prijava je kompletna")))))))))))</f>
        <v/>
      </c>
      <c r="Q65">
        <f>IF($E65="","sve_discipline","disc_"&amp;$E65)</f>
        <v/>
      </c>
      <c r="R65">
        <f>IF(OR($E65="",$C65=""),"sve_kilaze","kg_"&amp;$E65&amp;"_"&amp;IF($C65="ženski","Z","M"))</f>
        <v/>
      </c>
    </row>
    <row r="66" spans="1:18">
      <c r="A66" s="5"/>
      <c r="B66" s="5"/>
      <c r="C66" s="5"/>
      <c r="D66" s="5"/>
      <c r="E66" s="7">
        <f>IF($A66="","",LOOKUP($A66,INDEX(grupe,0,1),INDEX(grupe,0,2)))</f>
        <v/>
      </c>
      <c r="F66" s="7">
        <f>IF($E66="","",VLOOKUP($E66,INDEX(grupe,0,2):INDEX(grupe,0,3),2,FALSE))</f>
        <v/>
      </c>
      <c r="G66" s="5"/>
      <c r="H66" s="5"/>
      <c r="I66" s="5"/>
      <c r="J66" s="5"/>
      <c r="K66" s="5"/>
      <c r="L66" s="5"/>
      <c r="M66" s="5"/>
      <c r="N66" s="5"/>
      <c r="O66" s="5"/>
      <c r="P66" s="8">
        <f>IF(COUNTA($A66:$D66,G66:N66)=0,"",IF($A66="","Nedostaje godište",IF($E66="","Godište nije obuhvaćeno uzrasnom tabelom",IF($B66="","Nedostaje ime i prezime",IF(NOT(SUMPRODUCT(--ISERROR(FIND(MID($B66&amp;REPT("a",60),ROW($A$1:$A$60),1),"ABCDEFGHIJKLMNOPQRSTUVWXYZabcdefghijklmnopqrstuvwxyzČĆĐŠŽčćđšž -'")))=0),"Ime sadrži znakove koji nisu slova",IF($C66="","Nedostaje pol",IF($D66="","Nedostaje pojas",IF(COUNTA(G66:N66)=0,"Nije izabrana nijedna disciplina",IF(SUMPRODUCT(--(G66:N66&lt;&gt;""),--(COUNTIF(INDIRECT("disc_"&amp;$E66),G66:N66)=0))&gt;0,"Izabrana disciplina nije moguća za uzrast "&amp;$E66,IF(AND(COUNTIF(G66:N66,"Fudokan sport kumite")&gt;0,O66=""),"Nedostaje telesna težina za Fudokan sport kumite",IF(AND(COUNTIF(G66:N66,"Fudokan sport kumite")=0,O66&lt;&gt;""),"Telesna težina se unosi isključivo uz Fudokan sport kumite","prijava je kompletna")))))))))))</f>
        <v/>
      </c>
      <c r="Q66">
        <f>IF($E66="","sve_discipline","disc_"&amp;$E66)</f>
        <v/>
      </c>
      <c r="R66">
        <f>IF(OR($E66="",$C66=""),"sve_kilaze","kg_"&amp;$E66&amp;"_"&amp;IF($C66="ženski","Z","M"))</f>
        <v/>
      </c>
    </row>
    <row r="67" spans="1:18">
      <c r="A67" s="5"/>
      <c r="B67" s="5"/>
      <c r="C67" s="5"/>
      <c r="D67" s="5"/>
      <c r="E67" s="7">
        <f>IF($A67="","",LOOKUP($A67,INDEX(grupe,0,1),INDEX(grupe,0,2)))</f>
        <v/>
      </c>
      <c r="F67" s="7">
        <f>IF($E67="","",VLOOKUP($E67,INDEX(grupe,0,2):INDEX(grupe,0,3),2,FALSE))</f>
        <v/>
      </c>
      <c r="G67" s="5"/>
      <c r="H67" s="5"/>
      <c r="I67" s="5"/>
      <c r="J67" s="5"/>
      <c r="K67" s="5"/>
      <c r="L67" s="5"/>
      <c r="M67" s="5"/>
      <c r="N67" s="5"/>
      <c r="O67" s="5"/>
      <c r="P67" s="8">
        <f>IF(COUNTA($A67:$D67,G67:N67)=0,"",IF($A67="","Nedostaje godište",IF($E67="","Godište nije obuhvaćeno uzrasnom tabelom",IF($B67="","Nedostaje ime i prezime",IF(NOT(SUMPRODUCT(--ISERROR(FIND(MID($B67&amp;REPT("a",60),ROW($A$1:$A$60),1),"ABCDEFGHIJKLMNOPQRSTUVWXYZabcdefghijklmnopqrstuvwxyzČĆĐŠŽčćđšž -'")))=0),"Ime sadrži znakove koji nisu slova",IF($C67="","Nedostaje pol",IF($D67="","Nedostaje pojas",IF(COUNTA(G67:N67)=0,"Nije izabrana nijedna disciplina",IF(SUMPRODUCT(--(G67:N67&lt;&gt;""),--(COUNTIF(INDIRECT("disc_"&amp;$E67),G67:N67)=0))&gt;0,"Izabrana disciplina nije moguća za uzrast "&amp;$E67,IF(AND(COUNTIF(G67:N67,"Fudokan sport kumite")&gt;0,O67=""),"Nedostaje telesna težina za Fudokan sport kumite",IF(AND(COUNTIF(G67:N67,"Fudokan sport kumite")=0,O67&lt;&gt;""),"Telesna težina se unosi isključivo uz Fudokan sport kumite","prijava je kompletna")))))))))))</f>
        <v/>
      </c>
      <c r="Q67">
        <f>IF($E67="","sve_discipline","disc_"&amp;$E67)</f>
        <v/>
      </c>
      <c r="R67">
        <f>IF(OR($E67="",$C67=""),"sve_kilaze","kg_"&amp;$E67&amp;"_"&amp;IF($C67="ženski","Z","M"))</f>
        <v/>
      </c>
    </row>
    <row r="68" spans="1:18">
      <c r="A68" s="5"/>
      <c r="B68" s="5"/>
      <c r="C68" s="5"/>
      <c r="D68" s="5"/>
      <c r="E68" s="7">
        <f>IF($A68="","",LOOKUP($A68,INDEX(grupe,0,1),INDEX(grupe,0,2)))</f>
        <v/>
      </c>
      <c r="F68" s="7">
        <f>IF($E68="","",VLOOKUP($E68,INDEX(grupe,0,2):INDEX(grupe,0,3),2,FALSE))</f>
        <v/>
      </c>
      <c r="G68" s="5"/>
      <c r="H68" s="5"/>
      <c r="I68" s="5"/>
      <c r="J68" s="5"/>
      <c r="K68" s="5"/>
      <c r="L68" s="5"/>
      <c r="M68" s="5"/>
      <c r="N68" s="5"/>
      <c r="O68" s="5"/>
      <c r="P68" s="8">
        <f>IF(COUNTA($A68:$D68,G68:N68)=0,"",IF($A68="","Nedostaje godište",IF($E68="","Godište nije obuhvaćeno uzrasnom tabelom",IF($B68="","Nedostaje ime i prezime",IF(NOT(SUMPRODUCT(--ISERROR(FIND(MID($B68&amp;REPT("a",60),ROW($A$1:$A$60),1),"ABCDEFGHIJKLMNOPQRSTUVWXYZabcdefghijklmnopqrstuvwxyzČĆĐŠŽčćđšž -'")))=0),"Ime sadrži znakove koji nisu slova",IF($C68="","Nedostaje pol",IF($D68="","Nedostaje pojas",IF(COUNTA(G68:N68)=0,"Nije izabrana nijedna disciplina",IF(SUMPRODUCT(--(G68:N68&lt;&gt;""),--(COUNTIF(INDIRECT("disc_"&amp;$E68),G68:N68)=0))&gt;0,"Izabrana disciplina nije moguća za uzrast "&amp;$E68,IF(AND(COUNTIF(G68:N68,"Fudokan sport kumite")&gt;0,O68=""),"Nedostaje telesna težina za Fudokan sport kumite",IF(AND(COUNTIF(G68:N68,"Fudokan sport kumite")=0,O68&lt;&gt;""),"Telesna težina se unosi isključivo uz Fudokan sport kumite","prijava je kompletna")))))))))))</f>
        <v/>
      </c>
      <c r="Q68">
        <f>IF($E68="","sve_discipline","disc_"&amp;$E68)</f>
        <v/>
      </c>
      <c r="R68">
        <f>IF(OR($E68="",$C68=""),"sve_kilaze","kg_"&amp;$E68&amp;"_"&amp;IF($C68="ženski","Z","M"))</f>
        <v/>
      </c>
    </row>
    <row r="69" spans="1:18">
      <c r="A69" s="5"/>
      <c r="B69" s="5"/>
      <c r="C69" s="5"/>
      <c r="D69" s="5"/>
      <c r="E69" s="7">
        <f>IF($A69="","",LOOKUP($A69,INDEX(grupe,0,1),INDEX(grupe,0,2)))</f>
        <v/>
      </c>
      <c r="F69" s="7">
        <f>IF($E69="","",VLOOKUP($E69,INDEX(grupe,0,2):INDEX(grupe,0,3),2,FALSE))</f>
        <v/>
      </c>
      <c r="G69" s="5"/>
      <c r="H69" s="5"/>
      <c r="I69" s="5"/>
      <c r="J69" s="5"/>
      <c r="K69" s="5"/>
      <c r="L69" s="5"/>
      <c r="M69" s="5"/>
      <c r="N69" s="5"/>
      <c r="O69" s="5"/>
      <c r="P69" s="8">
        <f>IF(COUNTA($A69:$D69,G69:N69)=0,"",IF($A69="","Nedostaje godište",IF($E69="","Godište nije obuhvaćeno uzrasnom tabelom",IF($B69="","Nedostaje ime i prezime",IF(NOT(SUMPRODUCT(--ISERROR(FIND(MID($B69&amp;REPT("a",60),ROW($A$1:$A$60),1),"ABCDEFGHIJKLMNOPQRSTUVWXYZabcdefghijklmnopqrstuvwxyzČĆĐŠŽčćđšž -'")))=0),"Ime sadrži znakove koji nisu slova",IF($C69="","Nedostaje pol",IF($D69="","Nedostaje pojas",IF(COUNTA(G69:N69)=0,"Nije izabrana nijedna disciplina",IF(SUMPRODUCT(--(G69:N69&lt;&gt;""),--(COUNTIF(INDIRECT("disc_"&amp;$E69),G69:N69)=0))&gt;0,"Izabrana disciplina nije moguća za uzrast "&amp;$E69,IF(AND(COUNTIF(G69:N69,"Fudokan sport kumite")&gt;0,O69=""),"Nedostaje telesna težina za Fudokan sport kumite",IF(AND(COUNTIF(G69:N69,"Fudokan sport kumite")=0,O69&lt;&gt;""),"Telesna težina se unosi isključivo uz Fudokan sport kumite","prijava je kompletna")))))))))))</f>
        <v/>
      </c>
      <c r="Q69">
        <f>IF($E69="","sve_discipline","disc_"&amp;$E69)</f>
        <v/>
      </c>
      <c r="R69">
        <f>IF(OR($E69="",$C69=""),"sve_kilaze","kg_"&amp;$E69&amp;"_"&amp;IF($C69="ženski","Z","M"))</f>
        <v/>
      </c>
    </row>
    <row r="70" spans="1:18">
      <c r="A70" s="5"/>
      <c r="B70" s="5"/>
      <c r="C70" s="5"/>
      <c r="D70" s="5"/>
      <c r="E70" s="7">
        <f>IF($A70="","",LOOKUP($A70,INDEX(grupe,0,1),INDEX(grupe,0,2)))</f>
        <v/>
      </c>
      <c r="F70" s="7">
        <f>IF($E70="","",VLOOKUP($E70,INDEX(grupe,0,2):INDEX(grupe,0,3),2,FALSE))</f>
        <v/>
      </c>
      <c r="G70" s="5"/>
      <c r="H70" s="5"/>
      <c r="I70" s="5"/>
      <c r="J70" s="5"/>
      <c r="K70" s="5"/>
      <c r="L70" s="5"/>
      <c r="M70" s="5"/>
      <c r="N70" s="5"/>
      <c r="O70" s="5"/>
      <c r="P70" s="8">
        <f>IF(COUNTA($A70:$D70,G70:N70)=0,"",IF($A70="","Nedostaje godište",IF($E70="","Godište nije obuhvaćeno uzrasnom tabelom",IF($B70="","Nedostaje ime i prezime",IF(NOT(SUMPRODUCT(--ISERROR(FIND(MID($B70&amp;REPT("a",60),ROW($A$1:$A$60),1),"ABCDEFGHIJKLMNOPQRSTUVWXYZabcdefghijklmnopqrstuvwxyzČĆĐŠŽčćđšž -'")))=0),"Ime sadrži znakove koji nisu slova",IF($C70="","Nedostaje pol",IF($D70="","Nedostaje pojas",IF(COUNTA(G70:N70)=0,"Nije izabrana nijedna disciplina",IF(SUMPRODUCT(--(G70:N70&lt;&gt;""),--(COUNTIF(INDIRECT("disc_"&amp;$E70),G70:N70)=0))&gt;0,"Izabrana disciplina nije moguća za uzrast "&amp;$E70,IF(AND(COUNTIF(G70:N70,"Fudokan sport kumite")&gt;0,O70=""),"Nedostaje telesna težina za Fudokan sport kumite",IF(AND(COUNTIF(G70:N70,"Fudokan sport kumite")=0,O70&lt;&gt;""),"Telesna težina se unosi isključivo uz Fudokan sport kumite","prijava je kompletna")))))))))))</f>
        <v/>
      </c>
      <c r="Q70">
        <f>IF($E70="","sve_discipline","disc_"&amp;$E70)</f>
        <v/>
      </c>
      <c r="R70">
        <f>IF(OR($E70="",$C70=""),"sve_kilaze","kg_"&amp;$E70&amp;"_"&amp;IF($C70="ženski","Z","M"))</f>
        <v/>
      </c>
    </row>
    <row r="71" spans="1:18">
      <c r="A71" s="5"/>
      <c r="B71" s="5"/>
      <c r="C71" s="5"/>
      <c r="D71" s="5"/>
      <c r="E71" s="7">
        <f>IF($A71="","",LOOKUP($A71,INDEX(grupe,0,1),INDEX(grupe,0,2)))</f>
        <v/>
      </c>
      <c r="F71" s="7">
        <f>IF($E71="","",VLOOKUP($E71,INDEX(grupe,0,2):INDEX(grupe,0,3),2,FALSE))</f>
        <v/>
      </c>
      <c r="G71" s="5"/>
      <c r="H71" s="5"/>
      <c r="I71" s="5"/>
      <c r="J71" s="5"/>
      <c r="K71" s="5"/>
      <c r="L71" s="5"/>
      <c r="M71" s="5"/>
      <c r="N71" s="5"/>
      <c r="O71" s="5"/>
      <c r="P71" s="8">
        <f>IF(COUNTA($A71:$D71,G71:N71)=0,"",IF($A71="","Nedostaje godište",IF($E71="","Godište nije obuhvaćeno uzrasnom tabelom",IF($B71="","Nedostaje ime i prezime",IF(NOT(SUMPRODUCT(--ISERROR(FIND(MID($B71&amp;REPT("a",60),ROW($A$1:$A$60),1),"ABCDEFGHIJKLMNOPQRSTUVWXYZabcdefghijklmnopqrstuvwxyzČĆĐŠŽčćđšž -'")))=0),"Ime sadrži znakove koji nisu slova",IF($C71="","Nedostaje pol",IF($D71="","Nedostaje pojas",IF(COUNTA(G71:N71)=0,"Nije izabrana nijedna disciplina",IF(SUMPRODUCT(--(G71:N71&lt;&gt;""),--(COUNTIF(INDIRECT("disc_"&amp;$E71),G71:N71)=0))&gt;0,"Izabrana disciplina nije moguća za uzrast "&amp;$E71,IF(AND(COUNTIF(G71:N71,"Fudokan sport kumite")&gt;0,O71=""),"Nedostaje telesna težina za Fudokan sport kumite",IF(AND(COUNTIF(G71:N71,"Fudokan sport kumite")=0,O71&lt;&gt;""),"Telesna težina se unosi isključivo uz Fudokan sport kumite","prijava je kompletna")))))))))))</f>
        <v/>
      </c>
      <c r="Q71">
        <f>IF($E71="","sve_discipline","disc_"&amp;$E71)</f>
        <v/>
      </c>
      <c r="R71">
        <f>IF(OR($E71="",$C71=""),"sve_kilaze","kg_"&amp;$E71&amp;"_"&amp;IF($C71="ženski","Z","M"))</f>
        <v/>
      </c>
    </row>
    <row r="72" spans="1:18">
      <c r="A72" s="5"/>
      <c r="B72" s="5"/>
      <c r="C72" s="5"/>
      <c r="D72" s="5"/>
      <c r="E72" s="7">
        <f>IF($A72="","",LOOKUP($A72,INDEX(grupe,0,1),INDEX(grupe,0,2)))</f>
        <v/>
      </c>
      <c r="F72" s="7">
        <f>IF($E72="","",VLOOKUP($E72,INDEX(grupe,0,2):INDEX(grupe,0,3),2,FALSE))</f>
        <v/>
      </c>
      <c r="G72" s="5"/>
      <c r="H72" s="5"/>
      <c r="I72" s="5"/>
      <c r="J72" s="5"/>
      <c r="K72" s="5"/>
      <c r="L72" s="5"/>
      <c r="M72" s="5"/>
      <c r="N72" s="5"/>
      <c r="O72" s="5"/>
      <c r="P72" s="8">
        <f>IF(COUNTA($A72:$D72,G72:N72)=0,"",IF($A72="","Nedostaje godište",IF($E72="","Godište nije obuhvaćeno uzrasnom tabelom",IF($B72="","Nedostaje ime i prezime",IF(NOT(SUMPRODUCT(--ISERROR(FIND(MID($B72&amp;REPT("a",60),ROW($A$1:$A$60),1),"ABCDEFGHIJKLMNOPQRSTUVWXYZabcdefghijklmnopqrstuvwxyzČĆĐŠŽčćđšž -'")))=0),"Ime sadrži znakove koji nisu slova",IF($C72="","Nedostaje pol",IF($D72="","Nedostaje pojas",IF(COUNTA(G72:N72)=0,"Nije izabrana nijedna disciplina",IF(SUMPRODUCT(--(G72:N72&lt;&gt;""),--(COUNTIF(INDIRECT("disc_"&amp;$E72),G72:N72)=0))&gt;0,"Izabrana disciplina nije moguća za uzrast "&amp;$E72,IF(AND(COUNTIF(G72:N72,"Fudokan sport kumite")&gt;0,O72=""),"Nedostaje telesna težina za Fudokan sport kumite",IF(AND(COUNTIF(G72:N72,"Fudokan sport kumite")=0,O72&lt;&gt;""),"Telesna težina se unosi isključivo uz Fudokan sport kumite","prijava je kompletna")))))))))))</f>
        <v/>
      </c>
      <c r="Q72">
        <f>IF($E72="","sve_discipline","disc_"&amp;$E72)</f>
        <v/>
      </c>
      <c r="R72">
        <f>IF(OR($E72="",$C72=""),"sve_kilaze","kg_"&amp;$E72&amp;"_"&amp;IF($C72="ženski","Z","M"))</f>
        <v/>
      </c>
    </row>
    <row r="73" spans="1:18">
      <c r="A73" s="5"/>
      <c r="B73" s="5"/>
      <c r="C73" s="5"/>
      <c r="D73" s="5"/>
      <c r="E73" s="7">
        <f>IF($A73="","",LOOKUP($A73,INDEX(grupe,0,1),INDEX(grupe,0,2)))</f>
        <v/>
      </c>
      <c r="F73" s="7">
        <f>IF($E73="","",VLOOKUP($E73,INDEX(grupe,0,2):INDEX(grupe,0,3),2,FALSE))</f>
        <v/>
      </c>
      <c r="G73" s="5"/>
      <c r="H73" s="5"/>
      <c r="I73" s="5"/>
      <c r="J73" s="5"/>
      <c r="K73" s="5"/>
      <c r="L73" s="5"/>
      <c r="M73" s="5"/>
      <c r="N73" s="5"/>
      <c r="O73" s="5"/>
      <c r="P73" s="8">
        <f>IF(COUNTA($A73:$D73,G73:N73)=0,"",IF($A73="","Nedostaje godište",IF($E73="","Godište nije obuhvaćeno uzrasnom tabelom",IF($B73="","Nedostaje ime i prezime",IF(NOT(SUMPRODUCT(--ISERROR(FIND(MID($B73&amp;REPT("a",60),ROW($A$1:$A$60),1),"ABCDEFGHIJKLMNOPQRSTUVWXYZabcdefghijklmnopqrstuvwxyzČĆĐŠŽčćđšž -'")))=0),"Ime sadrži znakove koji nisu slova",IF($C73="","Nedostaje pol",IF($D73="","Nedostaje pojas",IF(COUNTA(G73:N73)=0,"Nije izabrana nijedna disciplina",IF(SUMPRODUCT(--(G73:N73&lt;&gt;""),--(COUNTIF(INDIRECT("disc_"&amp;$E73),G73:N73)=0))&gt;0,"Izabrana disciplina nije moguća za uzrast "&amp;$E73,IF(AND(COUNTIF(G73:N73,"Fudokan sport kumite")&gt;0,O73=""),"Nedostaje telesna težina za Fudokan sport kumite",IF(AND(COUNTIF(G73:N73,"Fudokan sport kumite")=0,O73&lt;&gt;""),"Telesna težina se unosi isključivo uz Fudokan sport kumite","prijava je kompletna")))))))))))</f>
        <v/>
      </c>
      <c r="Q73">
        <f>IF($E73="","sve_discipline","disc_"&amp;$E73)</f>
        <v/>
      </c>
      <c r="R73">
        <f>IF(OR($E73="",$C73=""),"sve_kilaze","kg_"&amp;$E73&amp;"_"&amp;IF($C73="ženski","Z","M"))</f>
        <v/>
      </c>
    </row>
    <row r="74" spans="1:18">
      <c r="A74" s="5"/>
      <c r="B74" s="5"/>
      <c r="C74" s="5"/>
      <c r="D74" s="5"/>
      <c r="E74" s="7">
        <f>IF($A74="","",LOOKUP($A74,INDEX(grupe,0,1),INDEX(grupe,0,2)))</f>
        <v/>
      </c>
      <c r="F74" s="7">
        <f>IF($E74="","",VLOOKUP($E74,INDEX(grupe,0,2):INDEX(grupe,0,3),2,FALSE))</f>
        <v/>
      </c>
      <c r="G74" s="5"/>
      <c r="H74" s="5"/>
      <c r="I74" s="5"/>
      <c r="J74" s="5"/>
      <c r="K74" s="5"/>
      <c r="L74" s="5"/>
      <c r="M74" s="5"/>
      <c r="N74" s="5"/>
      <c r="O74" s="5"/>
      <c r="P74" s="8">
        <f>IF(COUNTA($A74:$D74,G74:N74)=0,"",IF($A74="","Nedostaje godište",IF($E74="","Godište nije obuhvaćeno uzrasnom tabelom",IF($B74="","Nedostaje ime i prezime",IF(NOT(SUMPRODUCT(--ISERROR(FIND(MID($B74&amp;REPT("a",60),ROW($A$1:$A$60),1),"ABCDEFGHIJKLMNOPQRSTUVWXYZabcdefghijklmnopqrstuvwxyzČĆĐŠŽčćđšž -'")))=0),"Ime sadrži znakove koji nisu slova",IF($C74="","Nedostaje pol",IF($D74="","Nedostaje pojas",IF(COUNTA(G74:N74)=0,"Nije izabrana nijedna disciplina",IF(SUMPRODUCT(--(G74:N74&lt;&gt;""),--(COUNTIF(INDIRECT("disc_"&amp;$E74),G74:N74)=0))&gt;0,"Izabrana disciplina nije moguća za uzrast "&amp;$E74,IF(AND(COUNTIF(G74:N74,"Fudokan sport kumite")&gt;0,O74=""),"Nedostaje telesna težina za Fudokan sport kumite",IF(AND(COUNTIF(G74:N74,"Fudokan sport kumite")=0,O74&lt;&gt;""),"Telesna težina se unosi isključivo uz Fudokan sport kumite","prijava je kompletna")))))))))))</f>
        <v/>
      </c>
      <c r="Q74">
        <f>IF($E74="","sve_discipline","disc_"&amp;$E74)</f>
        <v/>
      </c>
      <c r="R74">
        <f>IF(OR($E74="",$C74=""),"sve_kilaze","kg_"&amp;$E74&amp;"_"&amp;IF($C74="ženski","Z","M"))</f>
        <v/>
      </c>
    </row>
    <row r="75" spans="1:18">
      <c r="A75" s="5"/>
      <c r="B75" s="5"/>
      <c r="C75" s="5"/>
      <c r="D75" s="5"/>
      <c r="E75" s="7">
        <f>IF($A75="","",LOOKUP($A75,INDEX(grupe,0,1),INDEX(grupe,0,2)))</f>
        <v/>
      </c>
      <c r="F75" s="7">
        <f>IF($E75="","",VLOOKUP($E75,INDEX(grupe,0,2):INDEX(grupe,0,3),2,FALSE))</f>
        <v/>
      </c>
      <c r="G75" s="5"/>
      <c r="H75" s="5"/>
      <c r="I75" s="5"/>
      <c r="J75" s="5"/>
      <c r="K75" s="5"/>
      <c r="L75" s="5"/>
      <c r="M75" s="5"/>
      <c r="N75" s="5"/>
      <c r="O75" s="5"/>
      <c r="P75" s="8">
        <f>IF(COUNTA($A75:$D75,G75:N75)=0,"",IF($A75="","Nedostaje godište",IF($E75="","Godište nije obuhvaćeno uzrasnom tabelom",IF($B75="","Nedostaje ime i prezime",IF(NOT(SUMPRODUCT(--ISERROR(FIND(MID($B75&amp;REPT("a",60),ROW($A$1:$A$60),1),"ABCDEFGHIJKLMNOPQRSTUVWXYZabcdefghijklmnopqrstuvwxyzČĆĐŠŽčćđšž -'")))=0),"Ime sadrži znakove koji nisu slova",IF($C75="","Nedostaje pol",IF($D75="","Nedostaje pojas",IF(COUNTA(G75:N75)=0,"Nije izabrana nijedna disciplina",IF(SUMPRODUCT(--(G75:N75&lt;&gt;""),--(COUNTIF(INDIRECT("disc_"&amp;$E75),G75:N75)=0))&gt;0,"Izabrana disciplina nije moguća za uzrast "&amp;$E75,IF(AND(COUNTIF(G75:N75,"Fudokan sport kumite")&gt;0,O75=""),"Nedostaje telesna težina za Fudokan sport kumite",IF(AND(COUNTIF(G75:N75,"Fudokan sport kumite")=0,O75&lt;&gt;""),"Telesna težina se unosi isključivo uz Fudokan sport kumite","prijava je kompletna")))))))))))</f>
        <v/>
      </c>
      <c r="Q75">
        <f>IF($E75="","sve_discipline","disc_"&amp;$E75)</f>
        <v/>
      </c>
      <c r="R75">
        <f>IF(OR($E75="",$C75=""),"sve_kilaze","kg_"&amp;$E75&amp;"_"&amp;IF($C75="ženski","Z","M"))</f>
        <v/>
      </c>
    </row>
    <row r="76" spans="1:18">
      <c r="A76" s="5"/>
      <c r="B76" s="5"/>
      <c r="C76" s="5"/>
      <c r="D76" s="5"/>
      <c r="E76" s="7">
        <f>IF($A76="","",LOOKUP($A76,INDEX(grupe,0,1),INDEX(grupe,0,2)))</f>
        <v/>
      </c>
      <c r="F76" s="7">
        <f>IF($E76="","",VLOOKUP($E76,INDEX(grupe,0,2):INDEX(grupe,0,3),2,FALSE))</f>
        <v/>
      </c>
      <c r="G76" s="5"/>
      <c r="H76" s="5"/>
      <c r="I76" s="5"/>
      <c r="J76" s="5"/>
      <c r="K76" s="5"/>
      <c r="L76" s="5"/>
      <c r="M76" s="5"/>
      <c r="N76" s="5"/>
      <c r="O76" s="5"/>
      <c r="P76" s="8">
        <f>IF(COUNTA($A76:$D76,G76:N76)=0,"",IF($A76="","Nedostaje godište",IF($E76="","Godište nije obuhvaćeno uzrasnom tabelom",IF($B76="","Nedostaje ime i prezime",IF(NOT(SUMPRODUCT(--ISERROR(FIND(MID($B76&amp;REPT("a",60),ROW($A$1:$A$60),1),"ABCDEFGHIJKLMNOPQRSTUVWXYZabcdefghijklmnopqrstuvwxyzČĆĐŠŽčćđšž -'")))=0),"Ime sadrži znakove koji nisu slova",IF($C76="","Nedostaje pol",IF($D76="","Nedostaje pojas",IF(COUNTA(G76:N76)=0,"Nije izabrana nijedna disciplina",IF(SUMPRODUCT(--(G76:N76&lt;&gt;""),--(COUNTIF(INDIRECT("disc_"&amp;$E76),G76:N76)=0))&gt;0,"Izabrana disciplina nije moguća za uzrast "&amp;$E76,IF(AND(COUNTIF(G76:N76,"Fudokan sport kumite")&gt;0,O76=""),"Nedostaje telesna težina za Fudokan sport kumite",IF(AND(COUNTIF(G76:N76,"Fudokan sport kumite")=0,O76&lt;&gt;""),"Telesna težina se unosi isključivo uz Fudokan sport kumite","prijava je kompletna")))))))))))</f>
        <v/>
      </c>
      <c r="Q76">
        <f>IF($E76="","sve_discipline","disc_"&amp;$E76)</f>
        <v/>
      </c>
      <c r="R76">
        <f>IF(OR($E76="",$C76=""),"sve_kilaze","kg_"&amp;$E76&amp;"_"&amp;IF($C76="ženski","Z","M"))</f>
        <v/>
      </c>
    </row>
    <row r="77" spans="1:18">
      <c r="A77" s="5"/>
      <c r="B77" s="5"/>
      <c r="C77" s="5"/>
      <c r="D77" s="5"/>
      <c r="E77" s="7">
        <f>IF($A77="","",LOOKUP($A77,INDEX(grupe,0,1),INDEX(grupe,0,2)))</f>
        <v/>
      </c>
      <c r="F77" s="7">
        <f>IF($E77="","",VLOOKUP($E77,INDEX(grupe,0,2):INDEX(grupe,0,3),2,FALSE))</f>
        <v/>
      </c>
      <c r="G77" s="5"/>
      <c r="H77" s="5"/>
      <c r="I77" s="5"/>
      <c r="J77" s="5"/>
      <c r="K77" s="5"/>
      <c r="L77" s="5"/>
      <c r="M77" s="5"/>
      <c r="N77" s="5"/>
      <c r="O77" s="5"/>
      <c r="P77" s="8">
        <f>IF(COUNTA($A77:$D77,G77:N77)=0,"",IF($A77="","Nedostaje godište",IF($E77="","Godište nije obuhvaćeno uzrasnom tabelom",IF($B77="","Nedostaje ime i prezime",IF(NOT(SUMPRODUCT(--ISERROR(FIND(MID($B77&amp;REPT("a",60),ROW($A$1:$A$60),1),"ABCDEFGHIJKLMNOPQRSTUVWXYZabcdefghijklmnopqrstuvwxyzČĆĐŠŽčćđšž -'")))=0),"Ime sadrži znakove koji nisu slova",IF($C77="","Nedostaje pol",IF($D77="","Nedostaje pojas",IF(COUNTA(G77:N77)=0,"Nije izabrana nijedna disciplina",IF(SUMPRODUCT(--(G77:N77&lt;&gt;""),--(COUNTIF(INDIRECT("disc_"&amp;$E77),G77:N77)=0))&gt;0,"Izabrana disciplina nije moguća za uzrast "&amp;$E77,IF(AND(COUNTIF(G77:N77,"Fudokan sport kumite")&gt;0,O77=""),"Nedostaje telesna težina za Fudokan sport kumite",IF(AND(COUNTIF(G77:N77,"Fudokan sport kumite")=0,O77&lt;&gt;""),"Telesna težina se unosi isključivo uz Fudokan sport kumite","prijava je kompletna")))))))))))</f>
        <v/>
      </c>
      <c r="Q77">
        <f>IF($E77="","sve_discipline","disc_"&amp;$E77)</f>
        <v/>
      </c>
      <c r="R77">
        <f>IF(OR($E77="",$C77=""),"sve_kilaze","kg_"&amp;$E77&amp;"_"&amp;IF($C77="ženski","Z","M"))</f>
        <v/>
      </c>
    </row>
    <row r="78" spans="1:18">
      <c r="A78" s="5"/>
      <c r="B78" s="5"/>
      <c r="C78" s="5"/>
      <c r="D78" s="5"/>
      <c r="E78" s="7">
        <f>IF($A78="","",LOOKUP($A78,INDEX(grupe,0,1),INDEX(grupe,0,2)))</f>
        <v/>
      </c>
      <c r="F78" s="7">
        <f>IF($E78="","",VLOOKUP($E78,INDEX(grupe,0,2):INDEX(grupe,0,3),2,FALSE))</f>
        <v/>
      </c>
      <c r="G78" s="5"/>
      <c r="H78" s="5"/>
      <c r="I78" s="5"/>
      <c r="J78" s="5"/>
      <c r="K78" s="5"/>
      <c r="L78" s="5"/>
      <c r="M78" s="5"/>
      <c r="N78" s="5"/>
      <c r="O78" s="5"/>
      <c r="P78" s="8">
        <f>IF(COUNTA($A78:$D78,G78:N78)=0,"",IF($A78="","Nedostaje godište",IF($E78="","Godište nije obuhvaćeno uzrasnom tabelom",IF($B78="","Nedostaje ime i prezime",IF(NOT(SUMPRODUCT(--ISERROR(FIND(MID($B78&amp;REPT("a",60),ROW($A$1:$A$60),1),"ABCDEFGHIJKLMNOPQRSTUVWXYZabcdefghijklmnopqrstuvwxyzČĆĐŠŽčćđšž -'")))=0),"Ime sadrži znakove koji nisu slova",IF($C78="","Nedostaje pol",IF($D78="","Nedostaje pojas",IF(COUNTA(G78:N78)=0,"Nije izabrana nijedna disciplina",IF(SUMPRODUCT(--(G78:N78&lt;&gt;""),--(COUNTIF(INDIRECT("disc_"&amp;$E78),G78:N78)=0))&gt;0,"Izabrana disciplina nije moguća za uzrast "&amp;$E78,IF(AND(COUNTIF(G78:N78,"Fudokan sport kumite")&gt;0,O78=""),"Nedostaje telesna težina za Fudokan sport kumite",IF(AND(COUNTIF(G78:N78,"Fudokan sport kumite")=0,O78&lt;&gt;""),"Telesna težina se unosi isključivo uz Fudokan sport kumite","prijava je kompletna")))))))))))</f>
        <v/>
      </c>
      <c r="Q78">
        <f>IF($E78="","sve_discipline","disc_"&amp;$E78)</f>
        <v/>
      </c>
      <c r="R78">
        <f>IF(OR($E78="",$C78=""),"sve_kilaze","kg_"&amp;$E78&amp;"_"&amp;IF($C78="ženski","Z","M"))</f>
        <v/>
      </c>
    </row>
    <row r="79" spans="1:18">
      <c r="A79" s="5"/>
      <c r="B79" s="5"/>
      <c r="C79" s="5"/>
      <c r="D79" s="5"/>
      <c r="E79" s="7">
        <f>IF($A79="","",LOOKUP($A79,INDEX(grupe,0,1),INDEX(grupe,0,2)))</f>
        <v/>
      </c>
      <c r="F79" s="7">
        <f>IF($E79="","",VLOOKUP($E79,INDEX(grupe,0,2):INDEX(grupe,0,3),2,FALSE))</f>
        <v/>
      </c>
      <c r="G79" s="5"/>
      <c r="H79" s="5"/>
      <c r="I79" s="5"/>
      <c r="J79" s="5"/>
      <c r="K79" s="5"/>
      <c r="L79" s="5"/>
      <c r="M79" s="5"/>
      <c r="N79" s="5"/>
      <c r="O79" s="5"/>
      <c r="P79" s="8">
        <f>IF(COUNTA($A79:$D79,G79:N79)=0,"",IF($A79="","Nedostaje godište",IF($E79="","Godište nije obuhvaćeno uzrasnom tabelom",IF($B79="","Nedostaje ime i prezime",IF(NOT(SUMPRODUCT(--ISERROR(FIND(MID($B79&amp;REPT("a",60),ROW($A$1:$A$60),1),"ABCDEFGHIJKLMNOPQRSTUVWXYZabcdefghijklmnopqrstuvwxyzČĆĐŠŽčćđšž -'")))=0),"Ime sadrži znakove koji nisu slova",IF($C79="","Nedostaje pol",IF($D79="","Nedostaje pojas",IF(COUNTA(G79:N79)=0,"Nije izabrana nijedna disciplina",IF(SUMPRODUCT(--(G79:N79&lt;&gt;""),--(COUNTIF(INDIRECT("disc_"&amp;$E79),G79:N79)=0))&gt;0,"Izabrana disciplina nije moguća za uzrast "&amp;$E79,IF(AND(COUNTIF(G79:N79,"Fudokan sport kumite")&gt;0,O79=""),"Nedostaje telesna težina za Fudokan sport kumite",IF(AND(COUNTIF(G79:N79,"Fudokan sport kumite")=0,O79&lt;&gt;""),"Telesna težina se unosi isključivo uz Fudokan sport kumite","prijava je kompletna")))))))))))</f>
        <v/>
      </c>
      <c r="Q79">
        <f>IF($E79="","sve_discipline","disc_"&amp;$E79)</f>
        <v/>
      </c>
      <c r="R79">
        <f>IF(OR($E79="",$C79=""),"sve_kilaze","kg_"&amp;$E79&amp;"_"&amp;IF($C79="ženski","Z","M"))</f>
        <v/>
      </c>
    </row>
    <row r="80" spans="1:18">
      <c r="A80" s="5"/>
      <c r="B80" s="5"/>
      <c r="C80" s="5"/>
      <c r="D80" s="5"/>
      <c r="E80" s="7">
        <f>IF($A80="","",LOOKUP($A80,INDEX(grupe,0,1),INDEX(grupe,0,2)))</f>
        <v/>
      </c>
      <c r="F80" s="7">
        <f>IF($E80="","",VLOOKUP($E80,INDEX(grupe,0,2):INDEX(grupe,0,3),2,FALSE))</f>
        <v/>
      </c>
      <c r="G80" s="5"/>
      <c r="H80" s="5"/>
      <c r="I80" s="5"/>
      <c r="J80" s="5"/>
      <c r="K80" s="5"/>
      <c r="L80" s="5"/>
      <c r="M80" s="5"/>
      <c r="N80" s="5"/>
      <c r="O80" s="5"/>
      <c r="P80" s="8">
        <f>IF(COUNTA($A80:$D80,G80:N80)=0,"",IF($A80="","Nedostaje godište",IF($E80="","Godište nije obuhvaćeno uzrasnom tabelom",IF($B80="","Nedostaje ime i prezime",IF(NOT(SUMPRODUCT(--ISERROR(FIND(MID($B80&amp;REPT("a",60),ROW($A$1:$A$60),1),"ABCDEFGHIJKLMNOPQRSTUVWXYZabcdefghijklmnopqrstuvwxyzČĆĐŠŽčćđšž -'")))=0),"Ime sadrži znakove koji nisu slova",IF($C80="","Nedostaje pol",IF($D80="","Nedostaje pojas",IF(COUNTA(G80:N80)=0,"Nije izabrana nijedna disciplina",IF(SUMPRODUCT(--(G80:N80&lt;&gt;""),--(COUNTIF(INDIRECT("disc_"&amp;$E80),G80:N80)=0))&gt;0,"Izabrana disciplina nije moguća za uzrast "&amp;$E80,IF(AND(COUNTIF(G80:N80,"Fudokan sport kumite")&gt;0,O80=""),"Nedostaje telesna težina za Fudokan sport kumite",IF(AND(COUNTIF(G80:N80,"Fudokan sport kumite")=0,O80&lt;&gt;""),"Telesna težina se unosi isključivo uz Fudokan sport kumite","prijava je kompletna")))))))))))</f>
        <v/>
      </c>
      <c r="Q80">
        <f>IF($E80="","sve_discipline","disc_"&amp;$E80)</f>
        <v/>
      </c>
      <c r="R80">
        <f>IF(OR($E80="",$C80=""),"sve_kilaze","kg_"&amp;$E80&amp;"_"&amp;IF($C80="ženski","Z","M"))</f>
        <v/>
      </c>
    </row>
    <row r="81" spans="1:18">
      <c r="A81" s="5"/>
      <c r="B81" s="5"/>
      <c r="C81" s="5"/>
      <c r="D81" s="5"/>
      <c r="E81" s="7">
        <f>IF($A81="","",LOOKUP($A81,INDEX(grupe,0,1),INDEX(grupe,0,2)))</f>
        <v/>
      </c>
      <c r="F81" s="7">
        <f>IF($E81="","",VLOOKUP($E81,INDEX(grupe,0,2):INDEX(grupe,0,3),2,FALSE))</f>
        <v/>
      </c>
      <c r="G81" s="5"/>
      <c r="H81" s="5"/>
      <c r="I81" s="5"/>
      <c r="J81" s="5"/>
      <c r="K81" s="5"/>
      <c r="L81" s="5"/>
      <c r="M81" s="5"/>
      <c r="N81" s="5"/>
      <c r="O81" s="5"/>
      <c r="P81" s="8">
        <f>IF(COUNTA($A81:$D81,G81:N81)=0,"",IF($A81="","Nedostaje godište",IF($E81="","Godište nije obuhvaćeno uzrasnom tabelom",IF($B81="","Nedostaje ime i prezime",IF(NOT(SUMPRODUCT(--ISERROR(FIND(MID($B81&amp;REPT("a",60),ROW($A$1:$A$60),1),"ABCDEFGHIJKLMNOPQRSTUVWXYZabcdefghijklmnopqrstuvwxyzČĆĐŠŽčćđšž -'")))=0),"Ime sadrži znakove koji nisu slova",IF($C81="","Nedostaje pol",IF($D81="","Nedostaje pojas",IF(COUNTA(G81:N81)=0,"Nije izabrana nijedna disciplina",IF(SUMPRODUCT(--(G81:N81&lt;&gt;""),--(COUNTIF(INDIRECT("disc_"&amp;$E81),G81:N81)=0))&gt;0,"Izabrana disciplina nije moguća za uzrast "&amp;$E81,IF(AND(COUNTIF(G81:N81,"Fudokan sport kumite")&gt;0,O81=""),"Nedostaje telesna težina za Fudokan sport kumite",IF(AND(COUNTIF(G81:N81,"Fudokan sport kumite")=0,O81&lt;&gt;""),"Telesna težina se unosi isključivo uz Fudokan sport kumite","prijava je kompletna")))))))))))</f>
        <v/>
      </c>
      <c r="Q81">
        <f>IF($E81="","sve_discipline","disc_"&amp;$E81)</f>
        <v/>
      </c>
      <c r="R81">
        <f>IF(OR($E81="",$C81=""),"sve_kilaze","kg_"&amp;$E81&amp;"_"&amp;IF($C81="ženski","Z","M"))</f>
        <v/>
      </c>
    </row>
    <row r="82" spans="1:18">
      <c r="A82" s="5"/>
      <c r="B82" s="5"/>
      <c r="C82" s="5"/>
      <c r="D82" s="5"/>
      <c r="E82" s="7">
        <f>IF($A82="","",LOOKUP($A82,INDEX(grupe,0,1),INDEX(grupe,0,2)))</f>
        <v/>
      </c>
      <c r="F82" s="7">
        <f>IF($E82="","",VLOOKUP($E82,INDEX(grupe,0,2):INDEX(grupe,0,3),2,FALSE))</f>
        <v/>
      </c>
      <c r="G82" s="5"/>
      <c r="H82" s="5"/>
      <c r="I82" s="5"/>
      <c r="J82" s="5"/>
      <c r="K82" s="5"/>
      <c r="L82" s="5"/>
      <c r="M82" s="5"/>
      <c r="N82" s="5"/>
      <c r="O82" s="5"/>
      <c r="P82" s="8">
        <f>IF(COUNTA($A82:$D82,G82:N82)=0,"",IF($A82="","Nedostaje godište",IF($E82="","Godište nije obuhvaćeno uzrasnom tabelom",IF($B82="","Nedostaje ime i prezime",IF(NOT(SUMPRODUCT(--ISERROR(FIND(MID($B82&amp;REPT("a",60),ROW($A$1:$A$60),1),"ABCDEFGHIJKLMNOPQRSTUVWXYZabcdefghijklmnopqrstuvwxyzČĆĐŠŽčćđšž -'")))=0),"Ime sadrži znakove koji nisu slova",IF($C82="","Nedostaje pol",IF($D82="","Nedostaje pojas",IF(COUNTA(G82:N82)=0,"Nije izabrana nijedna disciplina",IF(SUMPRODUCT(--(G82:N82&lt;&gt;""),--(COUNTIF(INDIRECT("disc_"&amp;$E82),G82:N82)=0))&gt;0,"Izabrana disciplina nije moguća za uzrast "&amp;$E82,IF(AND(COUNTIF(G82:N82,"Fudokan sport kumite")&gt;0,O82=""),"Nedostaje telesna težina za Fudokan sport kumite",IF(AND(COUNTIF(G82:N82,"Fudokan sport kumite")=0,O82&lt;&gt;""),"Telesna težina se unosi isključivo uz Fudokan sport kumite","prijava je kompletna")))))))))))</f>
        <v/>
      </c>
      <c r="Q82">
        <f>IF($E82="","sve_discipline","disc_"&amp;$E82)</f>
        <v/>
      </c>
      <c r="R82">
        <f>IF(OR($E82="",$C82=""),"sve_kilaze","kg_"&amp;$E82&amp;"_"&amp;IF($C82="ženski","Z","M"))</f>
        <v/>
      </c>
    </row>
    <row r="83" spans="1:18">
      <c r="A83" s="5"/>
      <c r="B83" s="5"/>
      <c r="C83" s="5"/>
      <c r="D83" s="5"/>
      <c r="E83" s="7">
        <f>IF($A83="","",LOOKUP($A83,INDEX(grupe,0,1),INDEX(grupe,0,2)))</f>
        <v/>
      </c>
      <c r="F83" s="7">
        <f>IF($E83="","",VLOOKUP($E83,INDEX(grupe,0,2):INDEX(grupe,0,3),2,FALSE))</f>
        <v/>
      </c>
      <c r="G83" s="5"/>
      <c r="H83" s="5"/>
      <c r="I83" s="5"/>
      <c r="J83" s="5"/>
      <c r="K83" s="5"/>
      <c r="L83" s="5"/>
      <c r="M83" s="5"/>
      <c r="N83" s="5"/>
      <c r="O83" s="5"/>
      <c r="P83" s="8">
        <f>IF(COUNTA($A83:$D83,G83:N83)=0,"",IF($A83="","Nedostaje godište",IF($E83="","Godište nije obuhvaćeno uzrasnom tabelom",IF($B83="","Nedostaje ime i prezime",IF(NOT(SUMPRODUCT(--ISERROR(FIND(MID($B83&amp;REPT("a",60),ROW($A$1:$A$60),1),"ABCDEFGHIJKLMNOPQRSTUVWXYZabcdefghijklmnopqrstuvwxyzČĆĐŠŽčćđšž -'")))=0),"Ime sadrži znakove koji nisu slova",IF($C83="","Nedostaje pol",IF($D83="","Nedostaje pojas",IF(COUNTA(G83:N83)=0,"Nije izabrana nijedna disciplina",IF(SUMPRODUCT(--(G83:N83&lt;&gt;""),--(COUNTIF(INDIRECT("disc_"&amp;$E83),G83:N83)=0))&gt;0,"Izabrana disciplina nije moguća za uzrast "&amp;$E83,IF(AND(COUNTIF(G83:N83,"Fudokan sport kumite")&gt;0,O83=""),"Nedostaje telesna težina za Fudokan sport kumite",IF(AND(COUNTIF(G83:N83,"Fudokan sport kumite")=0,O83&lt;&gt;""),"Telesna težina se unosi isključivo uz Fudokan sport kumite","prijava je kompletna")))))))))))</f>
        <v/>
      </c>
      <c r="Q83">
        <f>IF($E83="","sve_discipline","disc_"&amp;$E83)</f>
        <v/>
      </c>
      <c r="R83">
        <f>IF(OR($E83="",$C83=""),"sve_kilaze","kg_"&amp;$E83&amp;"_"&amp;IF($C83="ženski","Z","M"))</f>
        <v/>
      </c>
    </row>
    <row r="84" spans="1:18">
      <c r="A84" s="5"/>
      <c r="B84" s="5"/>
      <c r="C84" s="5"/>
      <c r="D84" s="5"/>
      <c r="E84" s="7">
        <f>IF($A84="","",LOOKUP($A84,INDEX(grupe,0,1),INDEX(grupe,0,2)))</f>
        <v/>
      </c>
      <c r="F84" s="7">
        <f>IF($E84="","",VLOOKUP($E84,INDEX(grupe,0,2):INDEX(grupe,0,3),2,FALSE))</f>
        <v/>
      </c>
      <c r="G84" s="5"/>
      <c r="H84" s="5"/>
      <c r="I84" s="5"/>
      <c r="J84" s="5"/>
      <c r="K84" s="5"/>
      <c r="L84" s="5"/>
      <c r="M84" s="5"/>
      <c r="N84" s="5"/>
      <c r="O84" s="5"/>
      <c r="P84" s="8">
        <f>IF(COUNTA($A84:$D84,G84:N84)=0,"",IF($A84="","Nedostaje godište",IF($E84="","Godište nije obuhvaćeno uzrasnom tabelom",IF($B84="","Nedostaje ime i prezime",IF(NOT(SUMPRODUCT(--ISERROR(FIND(MID($B84&amp;REPT("a",60),ROW($A$1:$A$60),1),"ABCDEFGHIJKLMNOPQRSTUVWXYZabcdefghijklmnopqrstuvwxyzČĆĐŠŽčćđšž -'")))=0),"Ime sadrži znakove koji nisu slova",IF($C84="","Nedostaje pol",IF($D84="","Nedostaje pojas",IF(COUNTA(G84:N84)=0,"Nije izabrana nijedna disciplina",IF(SUMPRODUCT(--(G84:N84&lt;&gt;""),--(COUNTIF(INDIRECT("disc_"&amp;$E84),G84:N84)=0))&gt;0,"Izabrana disciplina nije moguća za uzrast "&amp;$E84,IF(AND(COUNTIF(G84:N84,"Fudokan sport kumite")&gt;0,O84=""),"Nedostaje telesna težina za Fudokan sport kumite",IF(AND(COUNTIF(G84:N84,"Fudokan sport kumite")=0,O84&lt;&gt;""),"Telesna težina se unosi isključivo uz Fudokan sport kumite","prijava je kompletna")))))))))))</f>
        <v/>
      </c>
      <c r="Q84">
        <f>IF($E84="","sve_discipline","disc_"&amp;$E84)</f>
        <v/>
      </c>
      <c r="R84">
        <f>IF(OR($E84="",$C84=""),"sve_kilaze","kg_"&amp;$E84&amp;"_"&amp;IF($C84="ženski","Z","M"))</f>
        <v/>
      </c>
    </row>
    <row r="85" spans="1:18">
      <c r="A85" s="5"/>
      <c r="B85" s="5"/>
      <c r="C85" s="5"/>
      <c r="D85" s="5"/>
      <c r="E85" s="7">
        <f>IF($A85="","",LOOKUP($A85,INDEX(grupe,0,1),INDEX(grupe,0,2)))</f>
        <v/>
      </c>
      <c r="F85" s="7">
        <f>IF($E85="","",VLOOKUP($E85,INDEX(grupe,0,2):INDEX(grupe,0,3),2,FALSE))</f>
        <v/>
      </c>
      <c r="G85" s="5"/>
      <c r="H85" s="5"/>
      <c r="I85" s="5"/>
      <c r="J85" s="5"/>
      <c r="K85" s="5"/>
      <c r="L85" s="5"/>
      <c r="M85" s="5"/>
      <c r="N85" s="5"/>
      <c r="O85" s="5"/>
      <c r="P85" s="8">
        <f>IF(COUNTA($A85:$D85,G85:N85)=0,"",IF($A85="","Nedostaje godište",IF($E85="","Godište nije obuhvaćeno uzrasnom tabelom",IF($B85="","Nedostaje ime i prezime",IF(NOT(SUMPRODUCT(--ISERROR(FIND(MID($B85&amp;REPT("a",60),ROW($A$1:$A$60),1),"ABCDEFGHIJKLMNOPQRSTUVWXYZabcdefghijklmnopqrstuvwxyzČĆĐŠŽčćđšž -'")))=0),"Ime sadrži znakove koji nisu slova",IF($C85="","Nedostaje pol",IF($D85="","Nedostaje pojas",IF(COUNTA(G85:N85)=0,"Nije izabrana nijedna disciplina",IF(SUMPRODUCT(--(G85:N85&lt;&gt;""),--(COUNTIF(INDIRECT("disc_"&amp;$E85),G85:N85)=0))&gt;0,"Izabrana disciplina nije moguća za uzrast "&amp;$E85,IF(AND(COUNTIF(G85:N85,"Fudokan sport kumite")&gt;0,O85=""),"Nedostaje telesna težina za Fudokan sport kumite",IF(AND(COUNTIF(G85:N85,"Fudokan sport kumite")=0,O85&lt;&gt;""),"Telesna težina se unosi isključivo uz Fudokan sport kumite","prijava je kompletna")))))))))))</f>
        <v/>
      </c>
      <c r="Q85">
        <f>IF($E85="","sve_discipline","disc_"&amp;$E85)</f>
        <v/>
      </c>
      <c r="R85">
        <f>IF(OR($E85="",$C85=""),"sve_kilaze","kg_"&amp;$E85&amp;"_"&amp;IF($C85="ženski","Z","M"))</f>
        <v/>
      </c>
    </row>
    <row r="86" spans="1:18">
      <c r="A86" s="5"/>
      <c r="B86" s="5"/>
      <c r="C86" s="5"/>
      <c r="D86" s="5"/>
      <c r="E86" s="7">
        <f>IF($A86="","",LOOKUP($A86,INDEX(grupe,0,1),INDEX(grupe,0,2)))</f>
        <v/>
      </c>
      <c r="F86" s="7">
        <f>IF($E86="","",VLOOKUP($E86,INDEX(grupe,0,2):INDEX(grupe,0,3),2,FALSE))</f>
        <v/>
      </c>
      <c r="G86" s="5"/>
      <c r="H86" s="5"/>
      <c r="I86" s="5"/>
      <c r="J86" s="5"/>
      <c r="K86" s="5"/>
      <c r="L86" s="5"/>
      <c r="M86" s="5"/>
      <c r="N86" s="5"/>
      <c r="O86" s="5"/>
      <c r="P86" s="8">
        <f>IF(COUNTA($A86:$D86,G86:N86)=0,"",IF($A86="","Nedostaje godište",IF($E86="","Godište nije obuhvaćeno uzrasnom tabelom",IF($B86="","Nedostaje ime i prezime",IF(NOT(SUMPRODUCT(--ISERROR(FIND(MID($B86&amp;REPT("a",60),ROW($A$1:$A$60),1),"ABCDEFGHIJKLMNOPQRSTUVWXYZabcdefghijklmnopqrstuvwxyzČĆĐŠŽčćđšž -'")))=0),"Ime sadrži znakove koji nisu slova",IF($C86="","Nedostaje pol",IF($D86="","Nedostaje pojas",IF(COUNTA(G86:N86)=0,"Nije izabrana nijedna disciplina",IF(SUMPRODUCT(--(G86:N86&lt;&gt;""),--(COUNTIF(INDIRECT("disc_"&amp;$E86),G86:N86)=0))&gt;0,"Izabrana disciplina nije moguća za uzrast "&amp;$E86,IF(AND(COUNTIF(G86:N86,"Fudokan sport kumite")&gt;0,O86=""),"Nedostaje telesna težina za Fudokan sport kumite",IF(AND(COUNTIF(G86:N86,"Fudokan sport kumite")=0,O86&lt;&gt;""),"Telesna težina se unosi isključivo uz Fudokan sport kumite","prijava je kompletna")))))))))))</f>
        <v/>
      </c>
      <c r="Q86">
        <f>IF($E86="","sve_discipline","disc_"&amp;$E86)</f>
        <v/>
      </c>
      <c r="R86">
        <f>IF(OR($E86="",$C86=""),"sve_kilaze","kg_"&amp;$E86&amp;"_"&amp;IF($C86="ženski","Z","M"))</f>
        <v/>
      </c>
    </row>
    <row r="87" spans="1:18">
      <c r="A87" s="5"/>
      <c r="B87" s="5"/>
      <c r="C87" s="5"/>
      <c r="D87" s="5"/>
      <c r="E87" s="7">
        <f>IF($A87="","",LOOKUP($A87,INDEX(grupe,0,1),INDEX(grupe,0,2)))</f>
        <v/>
      </c>
      <c r="F87" s="7">
        <f>IF($E87="","",VLOOKUP($E87,INDEX(grupe,0,2):INDEX(grupe,0,3),2,FALSE))</f>
        <v/>
      </c>
      <c r="G87" s="5"/>
      <c r="H87" s="5"/>
      <c r="I87" s="5"/>
      <c r="J87" s="5"/>
      <c r="K87" s="5"/>
      <c r="L87" s="5"/>
      <c r="M87" s="5"/>
      <c r="N87" s="5"/>
      <c r="O87" s="5"/>
      <c r="P87" s="8">
        <f>IF(COUNTA($A87:$D87,G87:N87)=0,"",IF($A87="","Nedostaje godište",IF($E87="","Godište nije obuhvaćeno uzrasnom tabelom",IF($B87="","Nedostaje ime i prezime",IF(NOT(SUMPRODUCT(--ISERROR(FIND(MID($B87&amp;REPT("a",60),ROW($A$1:$A$60),1),"ABCDEFGHIJKLMNOPQRSTUVWXYZabcdefghijklmnopqrstuvwxyzČĆĐŠŽčćđšž -'")))=0),"Ime sadrži znakove koji nisu slova",IF($C87="","Nedostaje pol",IF($D87="","Nedostaje pojas",IF(COUNTA(G87:N87)=0,"Nije izabrana nijedna disciplina",IF(SUMPRODUCT(--(G87:N87&lt;&gt;""),--(COUNTIF(INDIRECT("disc_"&amp;$E87),G87:N87)=0))&gt;0,"Izabrana disciplina nije moguća za uzrast "&amp;$E87,IF(AND(COUNTIF(G87:N87,"Fudokan sport kumite")&gt;0,O87=""),"Nedostaje telesna težina za Fudokan sport kumite",IF(AND(COUNTIF(G87:N87,"Fudokan sport kumite")=0,O87&lt;&gt;""),"Telesna težina se unosi isključivo uz Fudokan sport kumite","prijava je kompletna")))))))))))</f>
        <v/>
      </c>
      <c r="Q87">
        <f>IF($E87="","sve_discipline","disc_"&amp;$E87)</f>
        <v/>
      </c>
      <c r="R87">
        <f>IF(OR($E87="",$C87=""),"sve_kilaze","kg_"&amp;$E87&amp;"_"&amp;IF($C87="ženski","Z","M"))</f>
        <v/>
      </c>
    </row>
    <row r="88" spans="1:18">
      <c r="A88" s="5"/>
      <c r="B88" s="5"/>
      <c r="C88" s="5"/>
      <c r="D88" s="5"/>
      <c r="E88" s="7">
        <f>IF($A88="","",LOOKUP($A88,INDEX(grupe,0,1),INDEX(grupe,0,2)))</f>
        <v/>
      </c>
      <c r="F88" s="7">
        <f>IF($E88="","",VLOOKUP($E88,INDEX(grupe,0,2):INDEX(grupe,0,3),2,FALSE))</f>
        <v/>
      </c>
      <c r="G88" s="5"/>
      <c r="H88" s="5"/>
      <c r="I88" s="5"/>
      <c r="J88" s="5"/>
      <c r="K88" s="5"/>
      <c r="L88" s="5"/>
      <c r="M88" s="5"/>
      <c r="N88" s="5"/>
      <c r="O88" s="5"/>
      <c r="P88" s="8">
        <f>IF(COUNTA($A88:$D88,G88:N88)=0,"",IF($A88="","Nedostaje godište",IF($E88="","Godište nije obuhvaćeno uzrasnom tabelom",IF($B88="","Nedostaje ime i prezime",IF(NOT(SUMPRODUCT(--ISERROR(FIND(MID($B88&amp;REPT("a",60),ROW($A$1:$A$60),1),"ABCDEFGHIJKLMNOPQRSTUVWXYZabcdefghijklmnopqrstuvwxyzČĆĐŠŽčćđšž -'")))=0),"Ime sadrži znakove koji nisu slova",IF($C88="","Nedostaje pol",IF($D88="","Nedostaje pojas",IF(COUNTA(G88:N88)=0,"Nije izabrana nijedna disciplina",IF(SUMPRODUCT(--(G88:N88&lt;&gt;""),--(COUNTIF(INDIRECT("disc_"&amp;$E88),G88:N88)=0))&gt;0,"Izabrana disciplina nije moguća za uzrast "&amp;$E88,IF(AND(COUNTIF(G88:N88,"Fudokan sport kumite")&gt;0,O88=""),"Nedostaje telesna težina za Fudokan sport kumite",IF(AND(COUNTIF(G88:N88,"Fudokan sport kumite")=0,O88&lt;&gt;""),"Telesna težina se unosi isključivo uz Fudokan sport kumite","prijava je kompletna")))))))))))</f>
        <v/>
      </c>
      <c r="Q88">
        <f>IF($E88="","sve_discipline","disc_"&amp;$E88)</f>
        <v/>
      </c>
      <c r="R88">
        <f>IF(OR($E88="",$C88=""),"sve_kilaze","kg_"&amp;$E88&amp;"_"&amp;IF($C88="ženski","Z","M"))</f>
        <v/>
      </c>
    </row>
    <row r="89" spans="1:18">
      <c r="A89" s="5"/>
      <c r="B89" s="5"/>
      <c r="C89" s="5"/>
      <c r="D89" s="5"/>
      <c r="E89" s="7">
        <f>IF($A89="","",LOOKUP($A89,INDEX(grupe,0,1),INDEX(grupe,0,2)))</f>
        <v/>
      </c>
      <c r="F89" s="7">
        <f>IF($E89="","",VLOOKUP($E89,INDEX(grupe,0,2):INDEX(grupe,0,3),2,FALSE))</f>
        <v/>
      </c>
      <c r="G89" s="5"/>
      <c r="H89" s="5"/>
      <c r="I89" s="5"/>
      <c r="J89" s="5"/>
      <c r="K89" s="5"/>
      <c r="L89" s="5"/>
      <c r="M89" s="5"/>
      <c r="N89" s="5"/>
      <c r="O89" s="5"/>
      <c r="P89" s="8">
        <f>IF(COUNTA($A89:$D89,G89:N89)=0,"",IF($A89="","Nedostaje godište",IF($E89="","Godište nije obuhvaćeno uzrasnom tabelom",IF($B89="","Nedostaje ime i prezime",IF(NOT(SUMPRODUCT(--ISERROR(FIND(MID($B89&amp;REPT("a",60),ROW($A$1:$A$60),1),"ABCDEFGHIJKLMNOPQRSTUVWXYZabcdefghijklmnopqrstuvwxyzČĆĐŠŽčćđšž -'")))=0),"Ime sadrži znakove koji nisu slova",IF($C89="","Nedostaje pol",IF($D89="","Nedostaje pojas",IF(COUNTA(G89:N89)=0,"Nije izabrana nijedna disciplina",IF(SUMPRODUCT(--(G89:N89&lt;&gt;""),--(COUNTIF(INDIRECT("disc_"&amp;$E89),G89:N89)=0))&gt;0,"Izabrana disciplina nije moguća za uzrast "&amp;$E89,IF(AND(COUNTIF(G89:N89,"Fudokan sport kumite")&gt;0,O89=""),"Nedostaje telesna težina za Fudokan sport kumite",IF(AND(COUNTIF(G89:N89,"Fudokan sport kumite")=0,O89&lt;&gt;""),"Telesna težina se unosi isključivo uz Fudokan sport kumite","prijava je kompletna")))))))))))</f>
        <v/>
      </c>
      <c r="Q89">
        <f>IF($E89="","sve_discipline","disc_"&amp;$E89)</f>
        <v/>
      </c>
      <c r="R89">
        <f>IF(OR($E89="",$C89=""),"sve_kilaze","kg_"&amp;$E89&amp;"_"&amp;IF($C89="ženski","Z","M"))</f>
        <v/>
      </c>
    </row>
    <row r="90" spans="1:18">
      <c r="A90" s="5"/>
      <c r="B90" s="5"/>
      <c r="C90" s="5"/>
      <c r="D90" s="5"/>
      <c r="E90" s="7">
        <f>IF($A90="","",LOOKUP($A90,INDEX(grupe,0,1),INDEX(grupe,0,2)))</f>
        <v/>
      </c>
      <c r="F90" s="7">
        <f>IF($E90="","",VLOOKUP($E90,INDEX(grupe,0,2):INDEX(grupe,0,3),2,FALSE))</f>
        <v/>
      </c>
      <c r="G90" s="5"/>
      <c r="H90" s="5"/>
      <c r="I90" s="5"/>
      <c r="J90" s="5"/>
      <c r="K90" s="5"/>
      <c r="L90" s="5"/>
      <c r="M90" s="5"/>
      <c r="N90" s="5"/>
      <c r="O90" s="5"/>
      <c r="P90" s="8">
        <f>IF(COUNTA($A90:$D90,G90:N90)=0,"",IF($A90="","Nedostaje godište",IF($E90="","Godište nije obuhvaćeno uzrasnom tabelom",IF($B90="","Nedostaje ime i prezime",IF(NOT(SUMPRODUCT(--ISERROR(FIND(MID($B90&amp;REPT("a",60),ROW($A$1:$A$60),1),"ABCDEFGHIJKLMNOPQRSTUVWXYZabcdefghijklmnopqrstuvwxyzČĆĐŠŽčćđšž -'")))=0),"Ime sadrži znakove koji nisu slova",IF($C90="","Nedostaje pol",IF($D90="","Nedostaje pojas",IF(COUNTA(G90:N90)=0,"Nije izabrana nijedna disciplina",IF(SUMPRODUCT(--(G90:N90&lt;&gt;""),--(COUNTIF(INDIRECT("disc_"&amp;$E90),G90:N90)=0))&gt;0,"Izabrana disciplina nije moguća za uzrast "&amp;$E90,IF(AND(COUNTIF(G90:N90,"Fudokan sport kumite")&gt;0,O90=""),"Nedostaje telesna težina za Fudokan sport kumite",IF(AND(COUNTIF(G90:N90,"Fudokan sport kumite")=0,O90&lt;&gt;""),"Telesna težina se unosi isključivo uz Fudokan sport kumite","prijava je kompletna")))))))))))</f>
        <v/>
      </c>
      <c r="Q90">
        <f>IF($E90="","sve_discipline","disc_"&amp;$E90)</f>
        <v/>
      </c>
      <c r="R90">
        <f>IF(OR($E90="",$C90=""),"sve_kilaze","kg_"&amp;$E90&amp;"_"&amp;IF($C90="ženski","Z","M"))</f>
        <v/>
      </c>
    </row>
    <row r="91" spans="1:18">
      <c r="A91" s="5"/>
      <c r="B91" s="5"/>
      <c r="C91" s="5"/>
      <c r="D91" s="5"/>
      <c r="E91" s="7">
        <f>IF($A91="","",LOOKUP($A91,INDEX(grupe,0,1),INDEX(grupe,0,2)))</f>
        <v/>
      </c>
      <c r="F91" s="7">
        <f>IF($E91="","",VLOOKUP($E91,INDEX(grupe,0,2):INDEX(grupe,0,3),2,FALSE))</f>
        <v/>
      </c>
      <c r="G91" s="5"/>
      <c r="H91" s="5"/>
      <c r="I91" s="5"/>
      <c r="J91" s="5"/>
      <c r="K91" s="5"/>
      <c r="L91" s="5"/>
      <c r="M91" s="5"/>
      <c r="N91" s="5"/>
      <c r="O91" s="5"/>
      <c r="P91" s="8">
        <f>IF(COUNTA($A91:$D91,G91:N91)=0,"",IF($A91="","Nedostaje godište",IF($E91="","Godište nije obuhvaćeno uzrasnom tabelom",IF($B91="","Nedostaje ime i prezime",IF(NOT(SUMPRODUCT(--ISERROR(FIND(MID($B91&amp;REPT("a",60),ROW($A$1:$A$60),1),"ABCDEFGHIJKLMNOPQRSTUVWXYZabcdefghijklmnopqrstuvwxyzČĆĐŠŽčćđšž -'")))=0),"Ime sadrži znakove koji nisu slova",IF($C91="","Nedostaje pol",IF($D91="","Nedostaje pojas",IF(COUNTA(G91:N91)=0,"Nije izabrana nijedna disciplina",IF(SUMPRODUCT(--(G91:N91&lt;&gt;""),--(COUNTIF(INDIRECT("disc_"&amp;$E91),G91:N91)=0))&gt;0,"Izabrana disciplina nije moguća za uzrast "&amp;$E91,IF(AND(COUNTIF(G91:N91,"Fudokan sport kumite")&gt;0,O91=""),"Nedostaje telesna težina za Fudokan sport kumite",IF(AND(COUNTIF(G91:N91,"Fudokan sport kumite")=0,O91&lt;&gt;""),"Telesna težina se unosi isključivo uz Fudokan sport kumite","prijava je kompletna")))))))))))</f>
        <v/>
      </c>
      <c r="Q91">
        <f>IF($E91="","sve_discipline","disc_"&amp;$E91)</f>
        <v/>
      </c>
      <c r="R91">
        <f>IF(OR($E91="",$C91=""),"sve_kilaze","kg_"&amp;$E91&amp;"_"&amp;IF($C91="ženski","Z","M"))</f>
        <v/>
      </c>
    </row>
    <row r="92" spans="1:18">
      <c r="A92" s="5"/>
      <c r="B92" s="5"/>
      <c r="C92" s="5"/>
      <c r="D92" s="5"/>
      <c r="E92" s="7">
        <f>IF($A92="","",LOOKUP($A92,INDEX(grupe,0,1),INDEX(grupe,0,2)))</f>
        <v/>
      </c>
      <c r="F92" s="7">
        <f>IF($E92="","",VLOOKUP($E92,INDEX(grupe,0,2):INDEX(grupe,0,3),2,FALSE))</f>
        <v/>
      </c>
      <c r="G92" s="5"/>
      <c r="H92" s="5"/>
      <c r="I92" s="5"/>
      <c r="J92" s="5"/>
      <c r="K92" s="5"/>
      <c r="L92" s="5"/>
      <c r="M92" s="5"/>
      <c r="N92" s="5"/>
      <c r="O92" s="5"/>
      <c r="P92" s="8">
        <f>IF(COUNTA($A92:$D92,G92:N92)=0,"",IF($A92="","Nedostaje godište",IF($E92="","Godište nije obuhvaćeno uzrasnom tabelom",IF($B92="","Nedostaje ime i prezime",IF(NOT(SUMPRODUCT(--ISERROR(FIND(MID($B92&amp;REPT("a",60),ROW($A$1:$A$60),1),"ABCDEFGHIJKLMNOPQRSTUVWXYZabcdefghijklmnopqrstuvwxyzČĆĐŠŽčćđšž -'")))=0),"Ime sadrži znakove koji nisu slova",IF($C92="","Nedostaje pol",IF($D92="","Nedostaje pojas",IF(COUNTA(G92:N92)=0,"Nije izabrana nijedna disciplina",IF(SUMPRODUCT(--(G92:N92&lt;&gt;""),--(COUNTIF(INDIRECT("disc_"&amp;$E92),G92:N92)=0))&gt;0,"Izabrana disciplina nije moguća za uzrast "&amp;$E92,IF(AND(COUNTIF(G92:N92,"Fudokan sport kumite")&gt;0,O92=""),"Nedostaje telesna težina za Fudokan sport kumite",IF(AND(COUNTIF(G92:N92,"Fudokan sport kumite")=0,O92&lt;&gt;""),"Telesna težina se unosi isključivo uz Fudokan sport kumite","prijava je kompletna")))))))))))</f>
        <v/>
      </c>
      <c r="Q92">
        <f>IF($E92="","sve_discipline","disc_"&amp;$E92)</f>
        <v/>
      </c>
      <c r="R92">
        <f>IF(OR($E92="",$C92=""),"sve_kilaze","kg_"&amp;$E92&amp;"_"&amp;IF($C92="ženski","Z","M"))</f>
        <v/>
      </c>
    </row>
    <row r="93" spans="1:18">
      <c r="A93" s="5"/>
      <c r="B93" s="5"/>
      <c r="C93" s="5"/>
      <c r="D93" s="5"/>
      <c r="E93" s="7">
        <f>IF($A93="","",LOOKUP($A93,INDEX(grupe,0,1),INDEX(grupe,0,2)))</f>
        <v/>
      </c>
      <c r="F93" s="7">
        <f>IF($E93="","",VLOOKUP($E93,INDEX(grupe,0,2):INDEX(grupe,0,3),2,FALSE))</f>
        <v/>
      </c>
      <c r="G93" s="5"/>
      <c r="H93" s="5"/>
      <c r="I93" s="5"/>
      <c r="J93" s="5"/>
      <c r="K93" s="5"/>
      <c r="L93" s="5"/>
      <c r="M93" s="5"/>
      <c r="N93" s="5"/>
      <c r="O93" s="5"/>
      <c r="P93" s="8">
        <f>IF(COUNTA($A93:$D93,G93:N93)=0,"",IF($A93="","Nedostaje godište",IF($E93="","Godište nije obuhvaćeno uzrasnom tabelom",IF($B93="","Nedostaje ime i prezime",IF(NOT(SUMPRODUCT(--ISERROR(FIND(MID($B93&amp;REPT("a",60),ROW($A$1:$A$60),1),"ABCDEFGHIJKLMNOPQRSTUVWXYZabcdefghijklmnopqrstuvwxyzČĆĐŠŽčćđšž -'")))=0),"Ime sadrži znakove koji nisu slova",IF($C93="","Nedostaje pol",IF($D93="","Nedostaje pojas",IF(COUNTA(G93:N93)=0,"Nije izabrana nijedna disciplina",IF(SUMPRODUCT(--(G93:N93&lt;&gt;""),--(COUNTIF(INDIRECT("disc_"&amp;$E93),G93:N93)=0))&gt;0,"Izabrana disciplina nije moguća za uzrast "&amp;$E93,IF(AND(COUNTIF(G93:N93,"Fudokan sport kumite")&gt;0,O93=""),"Nedostaje telesna težina za Fudokan sport kumite",IF(AND(COUNTIF(G93:N93,"Fudokan sport kumite")=0,O93&lt;&gt;""),"Telesna težina se unosi isključivo uz Fudokan sport kumite","prijava je kompletna")))))))))))</f>
        <v/>
      </c>
      <c r="Q93">
        <f>IF($E93="","sve_discipline","disc_"&amp;$E93)</f>
        <v/>
      </c>
      <c r="R93">
        <f>IF(OR($E93="",$C93=""),"sve_kilaze","kg_"&amp;$E93&amp;"_"&amp;IF($C93="ženski","Z","M"))</f>
        <v/>
      </c>
    </row>
    <row r="94" spans="1:18">
      <c r="A94" s="5"/>
      <c r="B94" s="5"/>
      <c r="C94" s="5"/>
      <c r="D94" s="5"/>
      <c r="E94" s="7">
        <f>IF($A94="","",LOOKUP($A94,INDEX(grupe,0,1),INDEX(grupe,0,2)))</f>
        <v/>
      </c>
      <c r="F94" s="7">
        <f>IF($E94="","",VLOOKUP($E94,INDEX(grupe,0,2):INDEX(grupe,0,3),2,FALSE))</f>
        <v/>
      </c>
      <c r="G94" s="5"/>
      <c r="H94" s="5"/>
      <c r="I94" s="5"/>
      <c r="J94" s="5"/>
      <c r="K94" s="5"/>
      <c r="L94" s="5"/>
      <c r="M94" s="5"/>
      <c r="N94" s="5"/>
      <c r="O94" s="5"/>
      <c r="P94" s="8">
        <f>IF(COUNTA($A94:$D94,G94:N94)=0,"",IF($A94="","Nedostaje godište",IF($E94="","Godište nije obuhvaćeno uzrasnom tabelom",IF($B94="","Nedostaje ime i prezime",IF(NOT(SUMPRODUCT(--ISERROR(FIND(MID($B94&amp;REPT("a",60),ROW($A$1:$A$60),1),"ABCDEFGHIJKLMNOPQRSTUVWXYZabcdefghijklmnopqrstuvwxyzČĆĐŠŽčćđšž -'")))=0),"Ime sadrži znakove koji nisu slova",IF($C94="","Nedostaje pol",IF($D94="","Nedostaje pojas",IF(COUNTA(G94:N94)=0,"Nije izabrana nijedna disciplina",IF(SUMPRODUCT(--(G94:N94&lt;&gt;""),--(COUNTIF(INDIRECT("disc_"&amp;$E94),G94:N94)=0))&gt;0,"Izabrana disciplina nije moguća za uzrast "&amp;$E94,IF(AND(COUNTIF(G94:N94,"Fudokan sport kumite")&gt;0,O94=""),"Nedostaje telesna težina za Fudokan sport kumite",IF(AND(COUNTIF(G94:N94,"Fudokan sport kumite")=0,O94&lt;&gt;""),"Telesna težina se unosi isključivo uz Fudokan sport kumite","prijava je kompletna")))))))))))</f>
        <v/>
      </c>
      <c r="Q94">
        <f>IF($E94="","sve_discipline","disc_"&amp;$E94)</f>
        <v/>
      </c>
      <c r="R94">
        <f>IF(OR($E94="",$C94=""),"sve_kilaze","kg_"&amp;$E94&amp;"_"&amp;IF($C94="ženski","Z","M"))</f>
        <v/>
      </c>
    </row>
    <row r="95" spans="1:18">
      <c r="A95" s="5"/>
      <c r="B95" s="5"/>
      <c r="C95" s="5"/>
      <c r="D95" s="5"/>
      <c r="E95" s="7">
        <f>IF($A95="","",LOOKUP($A95,INDEX(grupe,0,1),INDEX(grupe,0,2)))</f>
        <v/>
      </c>
      <c r="F95" s="7">
        <f>IF($E95="","",VLOOKUP($E95,INDEX(grupe,0,2):INDEX(grupe,0,3),2,FALSE))</f>
        <v/>
      </c>
      <c r="G95" s="5"/>
      <c r="H95" s="5"/>
      <c r="I95" s="5"/>
      <c r="J95" s="5"/>
      <c r="K95" s="5"/>
      <c r="L95" s="5"/>
      <c r="M95" s="5"/>
      <c r="N95" s="5"/>
      <c r="O95" s="5"/>
      <c r="P95" s="8">
        <f>IF(COUNTA($A95:$D95,G95:N95)=0,"",IF($A95="","Nedostaje godište",IF($E95="","Godište nije obuhvaćeno uzrasnom tabelom",IF($B95="","Nedostaje ime i prezime",IF(NOT(SUMPRODUCT(--ISERROR(FIND(MID($B95&amp;REPT("a",60),ROW($A$1:$A$60),1),"ABCDEFGHIJKLMNOPQRSTUVWXYZabcdefghijklmnopqrstuvwxyzČĆĐŠŽčćđšž -'")))=0),"Ime sadrži znakove koji nisu slova",IF($C95="","Nedostaje pol",IF($D95="","Nedostaje pojas",IF(COUNTA(G95:N95)=0,"Nije izabrana nijedna disciplina",IF(SUMPRODUCT(--(G95:N95&lt;&gt;""),--(COUNTIF(INDIRECT("disc_"&amp;$E95),G95:N95)=0))&gt;0,"Izabrana disciplina nije moguća za uzrast "&amp;$E95,IF(AND(COUNTIF(G95:N95,"Fudokan sport kumite")&gt;0,O95=""),"Nedostaje telesna težina za Fudokan sport kumite",IF(AND(COUNTIF(G95:N95,"Fudokan sport kumite")=0,O95&lt;&gt;""),"Telesna težina se unosi isključivo uz Fudokan sport kumite","prijava je kompletna")))))))))))</f>
        <v/>
      </c>
      <c r="Q95">
        <f>IF($E95="","sve_discipline","disc_"&amp;$E95)</f>
        <v/>
      </c>
      <c r="R95">
        <f>IF(OR($E95="",$C95=""),"sve_kilaze","kg_"&amp;$E95&amp;"_"&amp;IF($C95="ženski","Z","M"))</f>
        <v/>
      </c>
    </row>
    <row r="96" spans="1:18">
      <c r="A96" s="5"/>
      <c r="B96" s="5"/>
      <c r="C96" s="5"/>
      <c r="D96" s="5"/>
      <c r="E96" s="7">
        <f>IF($A96="","",LOOKUP($A96,INDEX(grupe,0,1),INDEX(grupe,0,2)))</f>
        <v/>
      </c>
      <c r="F96" s="7">
        <f>IF($E96="","",VLOOKUP($E96,INDEX(grupe,0,2):INDEX(grupe,0,3),2,FALSE))</f>
        <v/>
      </c>
      <c r="G96" s="5"/>
      <c r="H96" s="5"/>
      <c r="I96" s="5"/>
      <c r="J96" s="5"/>
      <c r="K96" s="5"/>
      <c r="L96" s="5"/>
      <c r="M96" s="5"/>
      <c r="N96" s="5"/>
      <c r="O96" s="5"/>
      <c r="P96" s="8">
        <f>IF(COUNTA($A96:$D96,G96:N96)=0,"",IF($A96="","Nedostaje godište",IF($E96="","Godište nije obuhvaćeno uzrasnom tabelom",IF($B96="","Nedostaje ime i prezime",IF(NOT(SUMPRODUCT(--ISERROR(FIND(MID($B96&amp;REPT("a",60),ROW($A$1:$A$60),1),"ABCDEFGHIJKLMNOPQRSTUVWXYZabcdefghijklmnopqrstuvwxyzČĆĐŠŽčćđšž -'")))=0),"Ime sadrži znakove koji nisu slova",IF($C96="","Nedostaje pol",IF($D96="","Nedostaje pojas",IF(COUNTA(G96:N96)=0,"Nije izabrana nijedna disciplina",IF(SUMPRODUCT(--(G96:N96&lt;&gt;""),--(COUNTIF(INDIRECT("disc_"&amp;$E96),G96:N96)=0))&gt;0,"Izabrana disciplina nije moguća za uzrast "&amp;$E96,IF(AND(COUNTIF(G96:N96,"Fudokan sport kumite")&gt;0,O96=""),"Nedostaje telesna težina za Fudokan sport kumite",IF(AND(COUNTIF(G96:N96,"Fudokan sport kumite")=0,O96&lt;&gt;""),"Telesna težina se unosi isključivo uz Fudokan sport kumite","prijava je kompletna")))))))))))</f>
        <v/>
      </c>
      <c r="Q96">
        <f>IF($E96="","sve_discipline","disc_"&amp;$E96)</f>
        <v/>
      </c>
      <c r="R96">
        <f>IF(OR($E96="",$C96=""),"sve_kilaze","kg_"&amp;$E96&amp;"_"&amp;IF($C96="ženski","Z","M"))</f>
        <v/>
      </c>
    </row>
    <row r="97" spans="1:18">
      <c r="A97" s="5"/>
      <c r="B97" s="5"/>
      <c r="C97" s="5"/>
      <c r="D97" s="5"/>
      <c r="E97" s="7">
        <f>IF($A97="","",LOOKUP($A97,INDEX(grupe,0,1),INDEX(grupe,0,2)))</f>
        <v/>
      </c>
      <c r="F97" s="7">
        <f>IF($E97="","",VLOOKUP($E97,INDEX(grupe,0,2):INDEX(grupe,0,3),2,FALSE))</f>
        <v/>
      </c>
      <c r="G97" s="5"/>
      <c r="H97" s="5"/>
      <c r="I97" s="5"/>
      <c r="J97" s="5"/>
      <c r="K97" s="5"/>
      <c r="L97" s="5"/>
      <c r="M97" s="5"/>
      <c r="N97" s="5"/>
      <c r="O97" s="5"/>
      <c r="P97" s="8">
        <f>IF(COUNTA($A97:$D97,G97:N97)=0,"",IF($A97="","Nedostaje godište",IF($E97="","Godište nije obuhvaćeno uzrasnom tabelom",IF($B97="","Nedostaje ime i prezime",IF(NOT(SUMPRODUCT(--ISERROR(FIND(MID($B97&amp;REPT("a",60),ROW($A$1:$A$60),1),"ABCDEFGHIJKLMNOPQRSTUVWXYZabcdefghijklmnopqrstuvwxyzČĆĐŠŽčćđšž -'")))=0),"Ime sadrži znakove koji nisu slova",IF($C97="","Nedostaje pol",IF($D97="","Nedostaje pojas",IF(COUNTA(G97:N97)=0,"Nije izabrana nijedna disciplina",IF(SUMPRODUCT(--(G97:N97&lt;&gt;""),--(COUNTIF(INDIRECT("disc_"&amp;$E97),G97:N97)=0))&gt;0,"Izabrana disciplina nije moguća za uzrast "&amp;$E97,IF(AND(COUNTIF(G97:N97,"Fudokan sport kumite")&gt;0,O97=""),"Nedostaje telesna težina za Fudokan sport kumite",IF(AND(COUNTIF(G97:N97,"Fudokan sport kumite")=0,O97&lt;&gt;""),"Telesna težina se unosi isključivo uz Fudokan sport kumite","prijava je kompletna")))))))))))</f>
        <v/>
      </c>
      <c r="Q97">
        <f>IF($E97="","sve_discipline","disc_"&amp;$E97)</f>
        <v/>
      </c>
      <c r="R97">
        <f>IF(OR($E97="",$C97=""),"sve_kilaze","kg_"&amp;$E97&amp;"_"&amp;IF($C97="ženski","Z","M"))</f>
        <v/>
      </c>
    </row>
    <row r="98" spans="1:18">
      <c r="A98" s="5"/>
      <c r="B98" s="5"/>
      <c r="C98" s="5"/>
      <c r="D98" s="5"/>
      <c r="E98" s="7">
        <f>IF($A98="","",LOOKUP($A98,INDEX(grupe,0,1),INDEX(grupe,0,2)))</f>
        <v/>
      </c>
      <c r="F98" s="7">
        <f>IF($E98="","",VLOOKUP($E98,INDEX(grupe,0,2):INDEX(grupe,0,3),2,FALSE))</f>
        <v/>
      </c>
      <c r="G98" s="5"/>
      <c r="H98" s="5"/>
      <c r="I98" s="5"/>
      <c r="J98" s="5"/>
      <c r="K98" s="5"/>
      <c r="L98" s="5"/>
      <c r="M98" s="5"/>
      <c r="N98" s="5"/>
      <c r="O98" s="5"/>
      <c r="P98" s="8">
        <f>IF(COUNTA($A98:$D98,G98:N98)=0,"",IF($A98="","Nedostaje godište",IF($E98="","Godište nije obuhvaćeno uzrasnom tabelom",IF($B98="","Nedostaje ime i prezime",IF(NOT(SUMPRODUCT(--ISERROR(FIND(MID($B98&amp;REPT("a",60),ROW($A$1:$A$60),1),"ABCDEFGHIJKLMNOPQRSTUVWXYZabcdefghijklmnopqrstuvwxyzČĆĐŠŽčćđšž -'")))=0),"Ime sadrži znakove koji nisu slova",IF($C98="","Nedostaje pol",IF($D98="","Nedostaje pojas",IF(COUNTA(G98:N98)=0,"Nije izabrana nijedna disciplina",IF(SUMPRODUCT(--(G98:N98&lt;&gt;""),--(COUNTIF(INDIRECT("disc_"&amp;$E98),G98:N98)=0))&gt;0,"Izabrana disciplina nije moguća za uzrast "&amp;$E98,IF(AND(COUNTIF(G98:N98,"Fudokan sport kumite")&gt;0,O98=""),"Nedostaje telesna težina za Fudokan sport kumite",IF(AND(COUNTIF(G98:N98,"Fudokan sport kumite")=0,O98&lt;&gt;""),"Telesna težina se unosi isključivo uz Fudokan sport kumite","prijava je kompletna")))))))))))</f>
        <v/>
      </c>
      <c r="Q98">
        <f>IF($E98="","sve_discipline","disc_"&amp;$E98)</f>
        <v/>
      </c>
      <c r="R98">
        <f>IF(OR($E98="",$C98=""),"sve_kilaze","kg_"&amp;$E98&amp;"_"&amp;IF($C98="ženski","Z","M"))</f>
        <v/>
      </c>
    </row>
    <row r="99" spans="1:18">
      <c r="A99" s="5"/>
      <c r="B99" s="5"/>
      <c r="C99" s="5"/>
      <c r="D99" s="5"/>
      <c r="E99" s="7">
        <f>IF($A99="","",LOOKUP($A99,INDEX(grupe,0,1),INDEX(grupe,0,2)))</f>
        <v/>
      </c>
      <c r="F99" s="7">
        <f>IF($E99="","",VLOOKUP($E99,INDEX(grupe,0,2):INDEX(grupe,0,3),2,FALSE))</f>
        <v/>
      </c>
      <c r="G99" s="5"/>
      <c r="H99" s="5"/>
      <c r="I99" s="5"/>
      <c r="J99" s="5"/>
      <c r="K99" s="5"/>
      <c r="L99" s="5"/>
      <c r="M99" s="5"/>
      <c r="N99" s="5"/>
      <c r="O99" s="5"/>
      <c r="P99" s="8">
        <f>IF(COUNTA($A99:$D99,G99:N99)=0,"",IF($A99="","Nedostaje godište",IF($E99="","Godište nije obuhvaćeno uzrasnom tabelom",IF($B99="","Nedostaje ime i prezime",IF(NOT(SUMPRODUCT(--ISERROR(FIND(MID($B99&amp;REPT("a",60),ROW($A$1:$A$60),1),"ABCDEFGHIJKLMNOPQRSTUVWXYZabcdefghijklmnopqrstuvwxyzČĆĐŠŽčćđšž -'")))=0),"Ime sadrži znakove koji nisu slova",IF($C99="","Nedostaje pol",IF($D99="","Nedostaje pojas",IF(COUNTA(G99:N99)=0,"Nije izabrana nijedna disciplina",IF(SUMPRODUCT(--(G99:N99&lt;&gt;""),--(COUNTIF(INDIRECT("disc_"&amp;$E99),G99:N99)=0))&gt;0,"Izabrana disciplina nije moguća za uzrast "&amp;$E99,IF(AND(COUNTIF(G99:N99,"Fudokan sport kumite")&gt;0,O99=""),"Nedostaje telesna težina za Fudokan sport kumite",IF(AND(COUNTIF(G99:N99,"Fudokan sport kumite")=0,O99&lt;&gt;""),"Telesna težina se unosi isključivo uz Fudokan sport kumite","prijava je kompletna")))))))))))</f>
        <v/>
      </c>
      <c r="Q99">
        <f>IF($E99="","sve_discipline","disc_"&amp;$E99)</f>
        <v/>
      </c>
      <c r="R99">
        <f>IF(OR($E99="",$C99=""),"sve_kilaze","kg_"&amp;$E99&amp;"_"&amp;IF($C99="ženski","Z","M"))</f>
        <v/>
      </c>
    </row>
    <row r="100" spans="1:18">
      <c r="A100" s="5"/>
      <c r="B100" s="5"/>
      <c r="C100" s="5"/>
      <c r="D100" s="5"/>
      <c r="E100" s="7">
        <f>IF($A100="","",LOOKUP($A100,INDEX(grupe,0,1),INDEX(grupe,0,2)))</f>
        <v/>
      </c>
      <c r="F100" s="7">
        <f>IF($E100="","",VLOOKUP($E100,INDEX(grupe,0,2):INDEX(grupe,0,3),2,FALSE))</f>
        <v/>
      </c>
      <c r="G100" s="5"/>
      <c r="H100" s="5"/>
      <c r="I100" s="5"/>
      <c r="J100" s="5"/>
      <c r="K100" s="5"/>
      <c r="L100" s="5"/>
      <c r="M100" s="5"/>
      <c r="N100" s="5"/>
      <c r="O100" s="5"/>
      <c r="P100" s="8">
        <f>IF(COUNTA($A100:$D100,G100:N100)=0,"",IF($A100="","Nedostaje godište",IF($E100="","Godište nije obuhvaćeno uzrasnom tabelom",IF($B100="","Nedostaje ime i prezime",IF(NOT(SUMPRODUCT(--ISERROR(FIND(MID($B100&amp;REPT("a",60),ROW($A$1:$A$60),1),"ABCDEFGHIJKLMNOPQRSTUVWXYZabcdefghijklmnopqrstuvwxyzČĆĐŠŽčćđšž -'")))=0),"Ime sadrži znakove koji nisu slova",IF($C100="","Nedostaje pol",IF($D100="","Nedostaje pojas",IF(COUNTA(G100:N100)=0,"Nije izabrana nijedna disciplina",IF(SUMPRODUCT(--(G100:N100&lt;&gt;""),--(COUNTIF(INDIRECT("disc_"&amp;$E100),G100:N100)=0))&gt;0,"Izabrana disciplina nije moguća za uzrast "&amp;$E100,IF(AND(COUNTIF(G100:N100,"Fudokan sport kumite")&gt;0,O100=""),"Nedostaje telesna težina za Fudokan sport kumite",IF(AND(COUNTIF(G100:N100,"Fudokan sport kumite")=0,O100&lt;&gt;""),"Telesna težina se unosi isključivo uz Fudokan sport kumite","prijava je kompletna")))))))))))</f>
        <v/>
      </c>
      <c r="Q100">
        <f>IF($E100="","sve_discipline","disc_"&amp;$E100)</f>
        <v/>
      </c>
      <c r="R100">
        <f>IF(OR($E100="",$C100=""),"sve_kilaze","kg_"&amp;$E100&amp;"_"&amp;IF($C100="ženski","Z","M"))</f>
        <v/>
      </c>
    </row>
    <row r="101" spans="1:18">
      <c r="A101" s="5"/>
      <c r="B101" s="5"/>
      <c r="C101" s="5"/>
      <c r="D101" s="5"/>
      <c r="E101" s="7">
        <f>IF($A101="","",LOOKUP($A101,INDEX(grupe,0,1),INDEX(grupe,0,2)))</f>
        <v/>
      </c>
      <c r="F101" s="7">
        <f>IF($E101="","",VLOOKUP($E101,INDEX(grupe,0,2):INDEX(grupe,0,3),2,FALSE))</f>
        <v/>
      </c>
      <c r="G101" s="5"/>
      <c r="H101" s="5"/>
      <c r="I101" s="5"/>
      <c r="J101" s="5"/>
      <c r="K101" s="5"/>
      <c r="L101" s="5"/>
      <c r="M101" s="5"/>
      <c r="N101" s="5"/>
      <c r="O101" s="5"/>
      <c r="P101" s="8">
        <f>IF(COUNTA($A101:$D101,G101:N101)=0,"",IF($A101="","Nedostaje godište",IF($E101="","Godište nije obuhvaćeno uzrasnom tabelom",IF($B101="","Nedostaje ime i prezime",IF(NOT(SUMPRODUCT(--ISERROR(FIND(MID($B101&amp;REPT("a",60),ROW($A$1:$A$60),1),"ABCDEFGHIJKLMNOPQRSTUVWXYZabcdefghijklmnopqrstuvwxyzČĆĐŠŽčćđšž -'")))=0),"Ime sadrži znakove koji nisu slova",IF($C101="","Nedostaje pol",IF($D101="","Nedostaje pojas",IF(COUNTA(G101:N101)=0,"Nije izabrana nijedna disciplina",IF(SUMPRODUCT(--(G101:N101&lt;&gt;""),--(COUNTIF(INDIRECT("disc_"&amp;$E101),G101:N101)=0))&gt;0,"Izabrana disciplina nije moguća za uzrast "&amp;$E101,IF(AND(COUNTIF(G101:N101,"Fudokan sport kumite")&gt;0,O101=""),"Nedostaje telesna težina za Fudokan sport kumite",IF(AND(COUNTIF(G101:N101,"Fudokan sport kumite")=0,O101&lt;&gt;""),"Telesna težina se unosi isključivo uz Fudokan sport kumite","prijava je kompletna")))))))))))</f>
        <v/>
      </c>
      <c r="Q101">
        <f>IF($E101="","sve_discipline","disc_"&amp;$E101)</f>
        <v/>
      </c>
      <c r="R101">
        <f>IF(OR($E101="",$C101=""),"sve_kilaze","kg_"&amp;$E101&amp;"_"&amp;IF($C101="ženski","Z","M"))</f>
        <v/>
      </c>
    </row>
    <row r="102" spans="1:18">
      <c r="A102" s="5"/>
      <c r="B102" s="5"/>
      <c r="C102" s="5"/>
      <c r="D102" s="5"/>
      <c r="E102" s="7">
        <f>IF($A102="","",LOOKUP($A102,INDEX(grupe,0,1),INDEX(grupe,0,2)))</f>
        <v/>
      </c>
      <c r="F102" s="7">
        <f>IF($E102="","",VLOOKUP($E102,INDEX(grupe,0,2):INDEX(grupe,0,3),2,FALSE))</f>
        <v/>
      </c>
      <c r="G102" s="5"/>
      <c r="H102" s="5"/>
      <c r="I102" s="5"/>
      <c r="J102" s="5"/>
      <c r="K102" s="5"/>
      <c r="L102" s="5"/>
      <c r="M102" s="5"/>
      <c r="N102" s="5"/>
      <c r="O102" s="5"/>
      <c r="P102" s="8">
        <f>IF(COUNTA($A102:$D102,G102:N102)=0,"",IF($A102="","Nedostaje godište",IF($E102="","Godište nije obuhvaćeno uzrasnom tabelom",IF($B102="","Nedostaje ime i prezime",IF(NOT(SUMPRODUCT(--ISERROR(FIND(MID($B102&amp;REPT("a",60),ROW($A$1:$A$60),1),"ABCDEFGHIJKLMNOPQRSTUVWXYZabcdefghijklmnopqrstuvwxyzČĆĐŠŽčćđšž -'")))=0),"Ime sadrži znakove koji nisu slova",IF($C102="","Nedostaje pol",IF($D102="","Nedostaje pojas",IF(COUNTA(G102:N102)=0,"Nije izabrana nijedna disciplina",IF(SUMPRODUCT(--(G102:N102&lt;&gt;""),--(COUNTIF(INDIRECT("disc_"&amp;$E102),G102:N102)=0))&gt;0,"Izabrana disciplina nije moguća za uzrast "&amp;$E102,IF(AND(COUNTIF(G102:N102,"Fudokan sport kumite")&gt;0,O102=""),"Nedostaje telesna težina za Fudokan sport kumite",IF(AND(COUNTIF(G102:N102,"Fudokan sport kumite")=0,O102&lt;&gt;""),"Telesna težina se unosi isključivo uz Fudokan sport kumite","prijava je kompletna")))))))))))</f>
        <v/>
      </c>
      <c r="Q102">
        <f>IF($E102="","sve_discipline","disc_"&amp;$E102)</f>
        <v/>
      </c>
      <c r="R102">
        <f>IF(OR($E102="",$C102=""),"sve_kilaze","kg_"&amp;$E102&amp;"_"&amp;IF($C102="ženski","Z","M"))</f>
        <v/>
      </c>
    </row>
    <row r="103" spans="1:18">
      <c r="A103" s="5"/>
      <c r="B103" s="5"/>
      <c r="C103" s="5"/>
      <c r="D103" s="5"/>
      <c r="E103" s="7">
        <f>IF($A103="","",LOOKUP($A103,INDEX(grupe,0,1),INDEX(grupe,0,2)))</f>
        <v/>
      </c>
      <c r="F103" s="7">
        <f>IF($E103="","",VLOOKUP($E103,INDEX(grupe,0,2):INDEX(grupe,0,3),2,FALSE))</f>
        <v/>
      </c>
      <c r="G103" s="5"/>
      <c r="H103" s="5"/>
      <c r="I103" s="5"/>
      <c r="J103" s="5"/>
      <c r="K103" s="5"/>
      <c r="L103" s="5"/>
      <c r="M103" s="5"/>
      <c r="N103" s="5"/>
      <c r="O103" s="5"/>
      <c r="P103" s="8">
        <f>IF(COUNTA($A103:$D103,G103:N103)=0,"",IF($A103="","Nedostaje godište",IF($E103="","Godište nije obuhvaćeno uzrasnom tabelom",IF($B103="","Nedostaje ime i prezime",IF(NOT(SUMPRODUCT(--ISERROR(FIND(MID($B103&amp;REPT("a",60),ROW($A$1:$A$60),1),"ABCDEFGHIJKLMNOPQRSTUVWXYZabcdefghijklmnopqrstuvwxyzČĆĐŠŽčćđšž -'")))=0),"Ime sadrži znakove koji nisu slova",IF($C103="","Nedostaje pol",IF($D103="","Nedostaje pojas",IF(COUNTA(G103:N103)=0,"Nije izabrana nijedna disciplina",IF(SUMPRODUCT(--(G103:N103&lt;&gt;""),--(COUNTIF(INDIRECT("disc_"&amp;$E103),G103:N103)=0))&gt;0,"Izabrana disciplina nije moguća za uzrast "&amp;$E103,IF(AND(COUNTIF(G103:N103,"Fudokan sport kumite")&gt;0,O103=""),"Nedostaje telesna težina za Fudokan sport kumite",IF(AND(COUNTIF(G103:N103,"Fudokan sport kumite")=0,O103&lt;&gt;""),"Telesna težina se unosi isključivo uz Fudokan sport kumite","prijava je kompletna")))))))))))</f>
        <v/>
      </c>
      <c r="Q103">
        <f>IF($E103="","sve_discipline","disc_"&amp;$E103)</f>
        <v/>
      </c>
      <c r="R103">
        <f>IF(OR($E103="",$C103=""),"sve_kilaze","kg_"&amp;$E103&amp;"_"&amp;IF($C103="ženski","Z","M"))</f>
        <v/>
      </c>
    </row>
    <row r="104" spans="1:18">
      <c r="A104" s="5"/>
      <c r="B104" s="5"/>
      <c r="C104" s="5"/>
      <c r="D104" s="5"/>
      <c r="E104" s="7">
        <f>IF($A104="","",LOOKUP($A104,INDEX(grupe,0,1),INDEX(grupe,0,2)))</f>
        <v/>
      </c>
      <c r="F104" s="7">
        <f>IF($E104="","",VLOOKUP($E104,INDEX(grupe,0,2):INDEX(grupe,0,3),2,FALSE))</f>
        <v/>
      </c>
      <c r="G104" s="5"/>
      <c r="H104" s="5"/>
      <c r="I104" s="5"/>
      <c r="J104" s="5"/>
      <c r="K104" s="5"/>
      <c r="L104" s="5"/>
      <c r="M104" s="5"/>
      <c r="N104" s="5"/>
      <c r="O104" s="5"/>
      <c r="P104" s="8">
        <f>IF(COUNTA($A104:$D104,G104:N104)=0,"",IF($A104="","Nedostaje godište",IF($E104="","Godište nije obuhvaćeno uzrasnom tabelom",IF($B104="","Nedostaje ime i prezime",IF(NOT(SUMPRODUCT(--ISERROR(FIND(MID($B104&amp;REPT("a",60),ROW($A$1:$A$60),1),"ABCDEFGHIJKLMNOPQRSTUVWXYZabcdefghijklmnopqrstuvwxyzČĆĐŠŽčćđšž -'")))=0),"Ime sadrži znakove koji nisu slova",IF($C104="","Nedostaje pol",IF($D104="","Nedostaje pojas",IF(COUNTA(G104:N104)=0,"Nije izabrana nijedna disciplina",IF(SUMPRODUCT(--(G104:N104&lt;&gt;""),--(COUNTIF(INDIRECT("disc_"&amp;$E104),G104:N104)=0))&gt;0,"Izabrana disciplina nije moguća za uzrast "&amp;$E104,IF(AND(COUNTIF(G104:N104,"Fudokan sport kumite")&gt;0,O104=""),"Nedostaje telesna težina za Fudokan sport kumite",IF(AND(COUNTIF(G104:N104,"Fudokan sport kumite")=0,O104&lt;&gt;""),"Telesna težina se unosi isključivo uz Fudokan sport kumite","prijava je kompletna")))))))))))</f>
        <v/>
      </c>
      <c r="Q104">
        <f>IF($E104="","sve_discipline","disc_"&amp;$E104)</f>
        <v/>
      </c>
      <c r="R104">
        <f>IF(OR($E104="",$C104=""),"sve_kilaze","kg_"&amp;$E104&amp;"_"&amp;IF($C104="ženski","Z","M"))</f>
        <v/>
      </c>
    </row>
    <row r="105" spans="1:18">
      <c r="A105" s="5"/>
      <c r="B105" s="5"/>
      <c r="C105" s="5"/>
      <c r="D105" s="5"/>
      <c r="E105" s="7">
        <f>IF($A105="","",LOOKUP($A105,INDEX(grupe,0,1),INDEX(grupe,0,2)))</f>
        <v/>
      </c>
      <c r="F105" s="7">
        <f>IF($E105="","",VLOOKUP($E105,INDEX(grupe,0,2):INDEX(grupe,0,3),2,FALSE))</f>
        <v/>
      </c>
      <c r="G105" s="5"/>
      <c r="H105" s="5"/>
      <c r="I105" s="5"/>
      <c r="J105" s="5"/>
      <c r="K105" s="5"/>
      <c r="L105" s="5"/>
      <c r="M105" s="5"/>
      <c r="N105" s="5"/>
      <c r="O105" s="5"/>
      <c r="P105" s="8">
        <f>IF(COUNTA($A105:$D105,G105:N105)=0,"",IF($A105="","Nedostaje godište",IF($E105="","Godište nije obuhvaćeno uzrasnom tabelom",IF($B105="","Nedostaje ime i prezime",IF(NOT(SUMPRODUCT(--ISERROR(FIND(MID($B105&amp;REPT("a",60),ROW($A$1:$A$60),1),"ABCDEFGHIJKLMNOPQRSTUVWXYZabcdefghijklmnopqrstuvwxyzČĆĐŠŽčćđšž -'")))=0),"Ime sadrži znakove koji nisu slova",IF($C105="","Nedostaje pol",IF($D105="","Nedostaje pojas",IF(COUNTA(G105:N105)=0,"Nije izabrana nijedna disciplina",IF(SUMPRODUCT(--(G105:N105&lt;&gt;""),--(COUNTIF(INDIRECT("disc_"&amp;$E105),G105:N105)=0))&gt;0,"Izabrana disciplina nije moguća za uzrast "&amp;$E105,IF(AND(COUNTIF(G105:N105,"Fudokan sport kumite")&gt;0,O105=""),"Nedostaje telesna težina za Fudokan sport kumite",IF(AND(COUNTIF(G105:N105,"Fudokan sport kumite")=0,O105&lt;&gt;""),"Telesna težina se unosi isključivo uz Fudokan sport kumite","prijava je kompletna")))))))))))</f>
        <v/>
      </c>
      <c r="Q105">
        <f>IF($E105="","sve_discipline","disc_"&amp;$E105)</f>
        <v/>
      </c>
      <c r="R105">
        <f>IF(OR($E105="",$C105=""),"sve_kilaze","kg_"&amp;$E105&amp;"_"&amp;IF($C105="ženski","Z","M"))</f>
        <v/>
      </c>
    </row>
    <row r="106" spans="1:18">
      <c r="A106" s="5"/>
      <c r="B106" s="5"/>
      <c r="C106" s="5"/>
      <c r="D106" s="5"/>
      <c r="E106" s="7">
        <f>IF($A106="","",LOOKUP($A106,INDEX(grupe,0,1),INDEX(grupe,0,2)))</f>
        <v/>
      </c>
      <c r="F106" s="7">
        <f>IF($E106="","",VLOOKUP($E106,INDEX(grupe,0,2):INDEX(grupe,0,3),2,FALSE))</f>
        <v/>
      </c>
      <c r="G106" s="5"/>
      <c r="H106" s="5"/>
      <c r="I106" s="5"/>
      <c r="J106" s="5"/>
      <c r="K106" s="5"/>
      <c r="L106" s="5"/>
      <c r="M106" s="5"/>
      <c r="N106" s="5"/>
      <c r="O106" s="5"/>
      <c r="P106" s="8">
        <f>IF(COUNTA($A106:$D106,G106:N106)=0,"",IF($A106="","Nedostaje godište",IF($E106="","Godište nije obuhvaćeno uzrasnom tabelom",IF($B106="","Nedostaje ime i prezime",IF(NOT(SUMPRODUCT(--ISERROR(FIND(MID($B106&amp;REPT("a",60),ROW($A$1:$A$60),1),"ABCDEFGHIJKLMNOPQRSTUVWXYZabcdefghijklmnopqrstuvwxyzČĆĐŠŽčćđšž -'")))=0),"Ime sadrži znakove koji nisu slova",IF($C106="","Nedostaje pol",IF($D106="","Nedostaje pojas",IF(COUNTA(G106:N106)=0,"Nije izabrana nijedna disciplina",IF(SUMPRODUCT(--(G106:N106&lt;&gt;""),--(COUNTIF(INDIRECT("disc_"&amp;$E106),G106:N106)=0))&gt;0,"Izabrana disciplina nije moguća za uzrast "&amp;$E106,IF(AND(COUNTIF(G106:N106,"Fudokan sport kumite")&gt;0,O106=""),"Nedostaje telesna težina za Fudokan sport kumite",IF(AND(COUNTIF(G106:N106,"Fudokan sport kumite")=0,O106&lt;&gt;""),"Telesna težina se unosi isključivo uz Fudokan sport kumite","prijava je kompletna")))))))))))</f>
        <v/>
      </c>
      <c r="Q106">
        <f>IF($E106="","sve_discipline","disc_"&amp;$E106)</f>
        <v/>
      </c>
      <c r="R106">
        <f>IF(OR($E106="",$C106=""),"sve_kilaze","kg_"&amp;$E106&amp;"_"&amp;IF($C106="ženski","Z","M"))</f>
        <v/>
      </c>
    </row>
    <row r="107" spans="1:18">
      <c r="A107" s="5"/>
      <c r="B107" s="5"/>
      <c r="C107" s="5"/>
      <c r="D107" s="5"/>
      <c r="E107" s="7">
        <f>IF($A107="","",LOOKUP($A107,INDEX(grupe,0,1),INDEX(grupe,0,2)))</f>
        <v/>
      </c>
      <c r="F107" s="7">
        <f>IF($E107="","",VLOOKUP($E107,INDEX(grupe,0,2):INDEX(grupe,0,3),2,FALSE))</f>
        <v/>
      </c>
      <c r="G107" s="5"/>
      <c r="H107" s="5"/>
      <c r="I107" s="5"/>
      <c r="J107" s="5"/>
      <c r="K107" s="5"/>
      <c r="L107" s="5"/>
      <c r="M107" s="5"/>
      <c r="N107" s="5"/>
      <c r="O107" s="5"/>
      <c r="P107" s="8">
        <f>IF(COUNTA($A107:$D107,G107:N107)=0,"",IF($A107="","Nedostaje godište",IF($E107="","Godište nije obuhvaćeno uzrasnom tabelom",IF($B107="","Nedostaje ime i prezime",IF(NOT(SUMPRODUCT(--ISERROR(FIND(MID($B107&amp;REPT("a",60),ROW($A$1:$A$60),1),"ABCDEFGHIJKLMNOPQRSTUVWXYZabcdefghijklmnopqrstuvwxyzČĆĐŠŽčćđšž -'")))=0),"Ime sadrži znakove koji nisu slova",IF($C107="","Nedostaje pol",IF($D107="","Nedostaje pojas",IF(COUNTA(G107:N107)=0,"Nije izabrana nijedna disciplina",IF(SUMPRODUCT(--(G107:N107&lt;&gt;""),--(COUNTIF(INDIRECT("disc_"&amp;$E107),G107:N107)=0))&gt;0,"Izabrana disciplina nije moguća za uzrast "&amp;$E107,IF(AND(COUNTIF(G107:N107,"Fudokan sport kumite")&gt;0,O107=""),"Nedostaje telesna težina za Fudokan sport kumite",IF(AND(COUNTIF(G107:N107,"Fudokan sport kumite")=0,O107&lt;&gt;""),"Telesna težina se unosi isključivo uz Fudokan sport kumite","prijava je kompletna")))))))))))</f>
        <v/>
      </c>
      <c r="Q107">
        <f>IF($E107="","sve_discipline","disc_"&amp;$E107)</f>
        <v/>
      </c>
      <c r="R107">
        <f>IF(OR($E107="",$C107=""),"sve_kilaze","kg_"&amp;$E107&amp;"_"&amp;IF($C107="ženski","Z","M"))</f>
        <v/>
      </c>
    </row>
    <row r="108" spans="1:18">
      <c r="A108" s="5"/>
      <c r="B108" s="5"/>
      <c r="C108" s="5"/>
      <c r="D108" s="5"/>
      <c r="E108" s="7">
        <f>IF($A108="","",LOOKUP($A108,INDEX(grupe,0,1),INDEX(grupe,0,2)))</f>
        <v/>
      </c>
      <c r="F108" s="7">
        <f>IF($E108="","",VLOOKUP($E108,INDEX(grupe,0,2):INDEX(grupe,0,3),2,FALSE))</f>
        <v/>
      </c>
      <c r="G108" s="5"/>
      <c r="H108" s="5"/>
      <c r="I108" s="5"/>
      <c r="J108" s="5"/>
      <c r="K108" s="5"/>
      <c r="L108" s="5"/>
      <c r="M108" s="5"/>
      <c r="N108" s="5"/>
      <c r="O108" s="5"/>
      <c r="P108" s="8">
        <f>IF(COUNTA($A108:$D108,G108:N108)=0,"",IF($A108="","Nedostaje godište",IF($E108="","Godište nije obuhvaćeno uzrasnom tabelom",IF($B108="","Nedostaje ime i prezime",IF(NOT(SUMPRODUCT(--ISERROR(FIND(MID($B108&amp;REPT("a",60),ROW($A$1:$A$60),1),"ABCDEFGHIJKLMNOPQRSTUVWXYZabcdefghijklmnopqrstuvwxyzČĆĐŠŽčćđšž -'")))=0),"Ime sadrži znakove koji nisu slova",IF($C108="","Nedostaje pol",IF($D108="","Nedostaje pojas",IF(COUNTA(G108:N108)=0,"Nije izabrana nijedna disciplina",IF(SUMPRODUCT(--(G108:N108&lt;&gt;""),--(COUNTIF(INDIRECT("disc_"&amp;$E108),G108:N108)=0))&gt;0,"Izabrana disciplina nije moguća za uzrast "&amp;$E108,IF(AND(COUNTIF(G108:N108,"Fudokan sport kumite")&gt;0,O108=""),"Nedostaje telesna težina za Fudokan sport kumite",IF(AND(COUNTIF(G108:N108,"Fudokan sport kumite")=0,O108&lt;&gt;""),"Telesna težina se unosi isključivo uz Fudokan sport kumite","prijava je kompletna")))))))))))</f>
        <v/>
      </c>
      <c r="Q108">
        <f>IF($E108="","sve_discipline","disc_"&amp;$E108)</f>
        <v/>
      </c>
      <c r="R108">
        <f>IF(OR($E108="",$C108=""),"sve_kilaze","kg_"&amp;$E108&amp;"_"&amp;IF($C108="ženski","Z","M"))</f>
        <v/>
      </c>
    </row>
    <row r="109" spans="1:18">
      <c r="A109" s="5"/>
      <c r="B109" s="5"/>
      <c r="C109" s="5"/>
      <c r="D109" s="5"/>
      <c r="E109" s="7">
        <f>IF($A109="","",LOOKUP($A109,INDEX(grupe,0,1),INDEX(grupe,0,2)))</f>
        <v/>
      </c>
      <c r="F109" s="7">
        <f>IF($E109="","",VLOOKUP($E109,INDEX(grupe,0,2):INDEX(grupe,0,3),2,FALSE))</f>
        <v/>
      </c>
      <c r="G109" s="5"/>
      <c r="H109" s="5"/>
      <c r="I109" s="5"/>
      <c r="J109" s="5"/>
      <c r="K109" s="5"/>
      <c r="L109" s="5"/>
      <c r="M109" s="5"/>
      <c r="N109" s="5"/>
      <c r="O109" s="5"/>
      <c r="P109" s="8">
        <f>IF(COUNTA($A109:$D109,G109:N109)=0,"",IF($A109="","Nedostaje godište",IF($E109="","Godište nije obuhvaćeno uzrasnom tabelom",IF($B109="","Nedostaje ime i prezime",IF(NOT(SUMPRODUCT(--ISERROR(FIND(MID($B109&amp;REPT("a",60),ROW($A$1:$A$60),1),"ABCDEFGHIJKLMNOPQRSTUVWXYZabcdefghijklmnopqrstuvwxyzČĆĐŠŽčćđšž -'")))=0),"Ime sadrži znakove koji nisu slova",IF($C109="","Nedostaje pol",IF($D109="","Nedostaje pojas",IF(COUNTA(G109:N109)=0,"Nije izabrana nijedna disciplina",IF(SUMPRODUCT(--(G109:N109&lt;&gt;""),--(COUNTIF(INDIRECT("disc_"&amp;$E109),G109:N109)=0))&gt;0,"Izabrana disciplina nije moguća za uzrast "&amp;$E109,IF(AND(COUNTIF(G109:N109,"Fudokan sport kumite")&gt;0,O109=""),"Nedostaje telesna težina za Fudokan sport kumite",IF(AND(COUNTIF(G109:N109,"Fudokan sport kumite")=0,O109&lt;&gt;""),"Telesna težina se unosi isključivo uz Fudokan sport kumite","prijava je kompletna")))))))))))</f>
        <v/>
      </c>
      <c r="Q109">
        <f>IF($E109="","sve_discipline","disc_"&amp;$E109)</f>
        <v/>
      </c>
      <c r="R109">
        <f>IF(OR($E109="",$C109=""),"sve_kilaze","kg_"&amp;$E109&amp;"_"&amp;IF($C109="ženski","Z","M"))</f>
        <v/>
      </c>
    </row>
    <row r="110" spans="1:18">
      <c r="A110" s="5"/>
      <c r="B110" s="5"/>
      <c r="C110" s="5"/>
      <c r="D110" s="5"/>
      <c r="E110" s="7">
        <f>IF($A110="","",LOOKUP($A110,INDEX(grupe,0,1),INDEX(grupe,0,2)))</f>
        <v/>
      </c>
      <c r="F110" s="7">
        <f>IF($E110="","",VLOOKUP($E110,INDEX(grupe,0,2):INDEX(grupe,0,3),2,FALSE))</f>
        <v/>
      </c>
      <c r="G110" s="5"/>
      <c r="H110" s="5"/>
      <c r="I110" s="5"/>
      <c r="J110" s="5"/>
      <c r="K110" s="5"/>
      <c r="L110" s="5"/>
      <c r="M110" s="5"/>
      <c r="N110" s="5"/>
      <c r="O110" s="5"/>
      <c r="P110" s="8">
        <f>IF(COUNTA($A110:$D110,G110:N110)=0,"",IF($A110="","Nedostaje godište",IF($E110="","Godište nije obuhvaćeno uzrasnom tabelom",IF($B110="","Nedostaje ime i prezime",IF(NOT(SUMPRODUCT(--ISERROR(FIND(MID($B110&amp;REPT("a",60),ROW($A$1:$A$60),1),"ABCDEFGHIJKLMNOPQRSTUVWXYZabcdefghijklmnopqrstuvwxyzČĆĐŠŽčćđšž -'")))=0),"Ime sadrži znakove koji nisu slova",IF($C110="","Nedostaje pol",IF($D110="","Nedostaje pojas",IF(COUNTA(G110:N110)=0,"Nije izabrana nijedna disciplina",IF(SUMPRODUCT(--(G110:N110&lt;&gt;""),--(COUNTIF(INDIRECT("disc_"&amp;$E110),G110:N110)=0))&gt;0,"Izabrana disciplina nije moguća za uzrast "&amp;$E110,IF(AND(COUNTIF(G110:N110,"Fudokan sport kumite")&gt;0,O110=""),"Nedostaje telesna težina za Fudokan sport kumite",IF(AND(COUNTIF(G110:N110,"Fudokan sport kumite")=0,O110&lt;&gt;""),"Telesna težina se unosi isključivo uz Fudokan sport kumite","prijava je kompletna")))))))))))</f>
        <v/>
      </c>
      <c r="Q110">
        <f>IF($E110="","sve_discipline","disc_"&amp;$E110)</f>
        <v/>
      </c>
      <c r="R110">
        <f>IF(OR($E110="",$C110=""),"sve_kilaze","kg_"&amp;$E110&amp;"_"&amp;IF($C110="ženski","Z","M"))</f>
        <v/>
      </c>
    </row>
    <row r="111" spans="1:18">
      <c r="A111" s="5"/>
      <c r="B111" s="5"/>
      <c r="C111" s="5"/>
      <c r="D111" s="5"/>
      <c r="E111" s="7">
        <f>IF($A111="","",LOOKUP($A111,INDEX(grupe,0,1),INDEX(grupe,0,2)))</f>
        <v/>
      </c>
      <c r="F111" s="7">
        <f>IF($E111="","",VLOOKUP($E111,INDEX(grupe,0,2):INDEX(grupe,0,3),2,FALSE))</f>
        <v/>
      </c>
      <c r="G111" s="5"/>
      <c r="H111" s="5"/>
      <c r="I111" s="5"/>
      <c r="J111" s="5"/>
      <c r="K111" s="5"/>
      <c r="L111" s="5"/>
      <c r="M111" s="5"/>
      <c r="N111" s="5"/>
      <c r="O111" s="5"/>
      <c r="P111" s="8">
        <f>IF(COUNTA($A111:$D111,G111:N111)=0,"",IF($A111="","Nedostaje godište",IF($E111="","Godište nije obuhvaćeno uzrasnom tabelom",IF($B111="","Nedostaje ime i prezime",IF(NOT(SUMPRODUCT(--ISERROR(FIND(MID($B111&amp;REPT("a",60),ROW($A$1:$A$60),1),"ABCDEFGHIJKLMNOPQRSTUVWXYZabcdefghijklmnopqrstuvwxyzČĆĐŠŽčćđšž -'")))=0),"Ime sadrži znakove koji nisu slova",IF($C111="","Nedostaje pol",IF($D111="","Nedostaje pojas",IF(COUNTA(G111:N111)=0,"Nije izabrana nijedna disciplina",IF(SUMPRODUCT(--(G111:N111&lt;&gt;""),--(COUNTIF(INDIRECT("disc_"&amp;$E111),G111:N111)=0))&gt;0,"Izabrana disciplina nije moguća za uzrast "&amp;$E111,IF(AND(COUNTIF(G111:N111,"Fudokan sport kumite")&gt;0,O111=""),"Nedostaje telesna težina za Fudokan sport kumite",IF(AND(COUNTIF(G111:N111,"Fudokan sport kumite")=0,O111&lt;&gt;""),"Telesna težina se unosi isključivo uz Fudokan sport kumite","prijava je kompletna")))))))))))</f>
        <v/>
      </c>
      <c r="Q111">
        <f>IF($E111="","sve_discipline","disc_"&amp;$E111)</f>
        <v/>
      </c>
      <c r="R111">
        <f>IF(OR($E111="",$C111=""),"sve_kilaze","kg_"&amp;$E111&amp;"_"&amp;IF($C111="ženski","Z","M"))</f>
        <v/>
      </c>
    </row>
    <row r="112" spans="1:18">
      <c r="A112" s="5"/>
      <c r="B112" s="5"/>
      <c r="C112" s="5"/>
      <c r="D112" s="5"/>
      <c r="E112" s="7">
        <f>IF($A112="","",LOOKUP($A112,INDEX(grupe,0,1),INDEX(grupe,0,2)))</f>
        <v/>
      </c>
      <c r="F112" s="7">
        <f>IF($E112="","",VLOOKUP($E112,INDEX(grupe,0,2):INDEX(grupe,0,3),2,FALSE))</f>
        <v/>
      </c>
      <c r="G112" s="5"/>
      <c r="H112" s="5"/>
      <c r="I112" s="5"/>
      <c r="J112" s="5"/>
      <c r="K112" s="5"/>
      <c r="L112" s="5"/>
      <c r="M112" s="5"/>
      <c r="N112" s="5"/>
      <c r="O112" s="5"/>
      <c r="P112" s="8">
        <f>IF(COUNTA($A112:$D112,G112:N112)=0,"",IF($A112="","Nedostaje godište",IF($E112="","Godište nije obuhvaćeno uzrasnom tabelom",IF($B112="","Nedostaje ime i prezime",IF(NOT(SUMPRODUCT(--ISERROR(FIND(MID($B112&amp;REPT("a",60),ROW($A$1:$A$60),1),"ABCDEFGHIJKLMNOPQRSTUVWXYZabcdefghijklmnopqrstuvwxyzČĆĐŠŽčćđšž -'")))=0),"Ime sadrži znakove koji nisu slova",IF($C112="","Nedostaje pol",IF($D112="","Nedostaje pojas",IF(COUNTA(G112:N112)=0,"Nije izabrana nijedna disciplina",IF(SUMPRODUCT(--(G112:N112&lt;&gt;""),--(COUNTIF(INDIRECT("disc_"&amp;$E112),G112:N112)=0))&gt;0,"Izabrana disciplina nije moguća za uzrast "&amp;$E112,IF(AND(COUNTIF(G112:N112,"Fudokan sport kumite")&gt;0,O112=""),"Nedostaje telesna težina za Fudokan sport kumite",IF(AND(COUNTIF(G112:N112,"Fudokan sport kumite")=0,O112&lt;&gt;""),"Telesna težina se unosi isključivo uz Fudokan sport kumite","prijava je kompletna")))))))))))</f>
        <v/>
      </c>
      <c r="Q112">
        <f>IF($E112="","sve_discipline","disc_"&amp;$E112)</f>
        <v/>
      </c>
      <c r="R112">
        <f>IF(OR($E112="",$C112=""),"sve_kilaze","kg_"&amp;$E112&amp;"_"&amp;IF($C112="ženski","Z","M"))</f>
        <v/>
      </c>
    </row>
    <row r="113" spans="1:18">
      <c r="A113" s="5"/>
      <c r="B113" s="5"/>
      <c r="C113" s="5"/>
      <c r="D113" s="5"/>
      <c r="E113" s="7">
        <f>IF($A113="","",LOOKUP($A113,INDEX(grupe,0,1),INDEX(grupe,0,2)))</f>
        <v/>
      </c>
      <c r="F113" s="7">
        <f>IF($E113="","",VLOOKUP($E113,INDEX(grupe,0,2):INDEX(grupe,0,3),2,FALSE))</f>
        <v/>
      </c>
      <c r="G113" s="5"/>
      <c r="H113" s="5"/>
      <c r="I113" s="5"/>
      <c r="J113" s="5"/>
      <c r="K113" s="5"/>
      <c r="L113" s="5"/>
      <c r="M113" s="5"/>
      <c r="N113" s="5"/>
      <c r="O113" s="5"/>
      <c r="P113" s="8">
        <f>IF(COUNTA($A113:$D113,G113:N113)=0,"",IF($A113="","Nedostaje godište",IF($E113="","Godište nije obuhvaćeno uzrasnom tabelom",IF($B113="","Nedostaje ime i prezime",IF(NOT(SUMPRODUCT(--ISERROR(FIND(MID($B113&amp;REPT("a",60),ROW($A$1:$A$60),1),"ABCDEFGHIJKLMNOPQRSTUVWXYZabcdefghijklmnopqrstuvwxyzČĆĐŠŽčćđšž -'")))=0),"Ime sadrži znakove koji nisu slova",IF($C113="","Nedostaje pol",IF($D113="","Nedostaje pojas",IF(COUNTA(G113:N113)=0,"Nije izabrana nijedna disciplina",IF(SUMPRODUCT(--(G113:N113&lt;&gt;""),--(COUNTIF(INDIRECT("disc_"&amp;$E113),G113:N113)=0))&gt;0,"Izabrana disciplina nije moguća za uzrast "&amp;$E113,IF(AND(COUNTIF(G113:N113,"Fudokan sport kumite")&gt;0,O113=""),"Nedostaje telesna težina za Fudokan sport kumite",IF(AND(COUNTIF(G113:N113,"Fudokan sport kumite")=0,O113&lt;&gt;""),"Telesna težina se unosi isključivo uz Fudokan sport kumite","prijava je kompletna")))))))))))</f>
        <v/>
      </c>
      <c r="Q113">
        <f>IF($E113="","sve_discipline","disc_"&amp;$E113)</f>
        <v/>
      </c>
      <c r="R113">
        <f>IF(OR($E113="",$C113=""),"sve_kilaze","kg_"&amp;$E113&amp;"_"&amp;IF($C113="ženski","Z","M"))</f>
        <v/>
      </c>
    </row>
    <row r="114" spans="1:18">
      <c r="A114" s="5"/>
      <c r="B114" s="5"/>
      <c r="C114" s="5"/>
      <c r="D114" s="5"/>
      <c r="E114" s="7">
        <f>IF($A114="","",LOOKUP($A114,INDEX(grupe,0,1),INDEX(grupe,0,2)))</f>
        <v/>
      </c>
      <c r="F114" s="7">
        <f>IF($E114="","",VLOOKUP($E114,INDEX(grupe,0,2):INDEX(grupe,0,3),2,FALSE))</f>
        <v/>
      </c>
      <c r="G114" s="5"/>
      <c r="H114" s="5"/>
      <c r="I114" s="5"/>
      <c r="J114" s="5"/>
      <c r="K114" s="5"/>
      <c r="L114" s="5"/>
      <c r="M114" s="5"/>
      <c r="N114" s="5"/>
      <c r="O114" s="5"/>
      <c r="P114" s="8">
        <f>IF(COUNTA($A114:$D114,G114:N114)=0,"",IF($A114="","Nedostaje godište",IF($E114="","Godište nije obuhvaćeno uzrasnom tabelom",IF($B114="","Nedostaje ime i prezime",IF(NOT(SUMPRODUCT(--ISERROR(FIND(MID($B114&amp;REPT("a",60),ROW($A$1:$A$60),1),"ABCDEFGHIJKLMNOPQRSTUVWXYZabcdefghijklmnopqrstuvwxyzČĆĐŠŽčćđšž -'")))=0),"Ime sadrži znakove koji nisu slova",IF($C114="","Nedostaje pol",IF($D114="","Nedostaje pojas",IF(COUNTA(G114:N114)=0,"Nije izabrana nijedna disciplina",IF(SUMPRODUCT(--(G114:N114&lt;&gt;""),--(COUNTIF(INDIRECT("disc_"&amp;$E114),G114:N114)=0))&gt;0,"Izabrana disciplina nije moguća za uzrast "&amp;$E114,IF(AND(COUNTIF(G114:N114,"Fudokan sport kumite")&gt;0,O114=""),"Nedostaje telesna težina za Fudokan sport kumite",IF(AND(COUNTIF(G114:N114,"Fudokan sport kumite")=0,O114&lt;&gt;""),"Telesna težina se unosi isključivo uz Fudokan sport kumite","prijava je kompletna")))))))))))</f>
        <v/>
      </c>
      <c r="Q114">
        <f>IF($E114="","sve_discipline","disc_"&amp;$E114)</f>
        <v/>
      </c>
      <c r="R114">
        <f>IF(OR($E114="",$C114=""),"sve_kilaze","kg_"&amp;$E114&amp;"_"&amp;IF($C114="ženski","Z","M"))</f>
        <v/>
      </c>
    </row>
    <row r="115" spans="1:18">
      <c r="A115" s="5"/>
      <c r="B115" s="5"/>
      <c r="C115" s="5"/>
      <c r="D115" s="5"/>
      <c r="E115" s="7">
        <f>IF($A115="","",LOOKUP($A115,INDEX(grupe,0,1),INDEX(grupe,0,2)))</f>
        <v/>
      </c>
      <c r="F115" s="7">
        <f>IF($E115="","",VLOOKUP($E115,INDEX(grupe,0,2):INDEX(grupe,0,3),2,FALSE))</f>
        <v/>
      </c>
      <c r="G115" s="5"/>
      <c r="H115" s="5"/>
      <c r="I115" s="5"/>
      <c r="J115" s="5"/>
      <c r="K115" s="5"/>
      <c r="L115" s="5"/>
      <c r="M115" s="5"/>
      <c r="N115" s="5"/>
      <c r="O115" s="5"/>
      <c r="P115" s="8">
        <f>IF(COUNTA($A115:$D115,G115:N115)=0,"",IF($A115="","Nedostaje godište",IF($E115="","Godište nije obuhvaćeno uzrasnom tabelom",IF($B115="","Nedostaje ime i prezime",IF(NOT(SUMPRODUCT(--ISERROR(FIND(MID($B115&amp;REPT("a",60),ROW($A$1:$A$60),1),"ABCDEFGHIJKLMNOPQRSTUVWXYZabcdefghijklmnopqrstuvwxyzČĆĐŠŽčćđšž -'")))=0),"Ime sadrži znakove koji nisu slova",IF($C115="","Nedostaje pol",IF($D115="","Nedostaje pojas",IF(COUNTA(G115:N115)=0,"Nije izabrana nijedna disciplina",IF(SUMPRODUCT(--(G115:N115&lt;&gt;""),--(COUNTIF(INDIRECT("disc_"&amp;$E115),G115:N115)=0))&gt;0,"Izabrana disciplina nije moguća za uzrast "&amp;$E115,IF(AND(COUNTIF(G115:N115,"Fudokan sport kumite")&gt;0,O115=""),"Nedostaje telesna težina za Fudokan sport kumite",IF(AND(COUNTIF(G115:N115,"Fudokan sport kumite")=0,O115&lt;&gt;""),"Telesna težina se unosi isključivo uz Fudokan sport kumite","prijava je kompletna")))))))))))</f>
        <v/>
      </c>
      <c r="Q115">
        <f>IF($E115="","sve_discipline","disc_"&amp;$E115)</f>
        <v/>
      </c>
      <c r="R115">
        <f>IF(OR($E115="",$C115=""),"sve_kilaze","kg_"&amp;$E115&amp;"_"&amp;IF($C115="ženski","Z","M"))</f>
        <v/>
      </c>
    </row>
    <row r="116" spans="1:18">
      <c r="A116" s="5"/>
      <c r="B116" s="5"/>
      <c r="C116" s="5"/>
      <c r="D116" s="5"/>
      <c r="E116" s="7">
        <f>IF($A116="","",LOOKUP($A116,INDEX(grupe,0,1),INDEX(grupe,0,2)))</f>
        <v/>
      </c>
      <c r="F116" s="7">
        <f>IF($E116="","",VLOOKUP($E116,INDEX(grupe,0,2):INDEX(grupe,0,3),2,FALSE))</f>
        <v/>
      </c>
      <c r="G116" s="5"/>
      <c r="H116" s="5"/>
      <c r="I116" s="5"/>
      <c r="J116" s="5"/>
      <c r="K116" s="5"/>
      <c r="L116" s="5"/>
      <c r="M116" s="5"/>
      <c r="N116" s="5"/>
      <c r="O116" s="5"/>
      <c r="P116" s="8">
        <f>IF(COUNTA($A116:$D116,G116:N116)=0,"",IF($A116="","Nedostaje godište",IF($E116="","Godište nije obuhvaćeno uzrasnom tabelom",IF($B116="","Nedostaje ime i prezime",IF(NOT(SUMPRODUCT(--ISERROR(FIND(MID($B116&amp;REPT("a",60),ROW($A$1:$A$60),1),"ABCDEFGHIJKLMNOPQRSTUVWXYZabcdefghijklmnopqrstuvwxyzČĆĐŠŽčćđšž -'")))=0),"Ime sadrži znakove koji nisu slova",IF($C116="","Nedostaje pol",IF($D116="","Nedostaje pojas",IF(COUNTA(G116:N116)=0,"Nije izabrana nijedna disciplina",IF(SUMPRODUCT(--(G116:N116&lt;&gt;""),--(COUNTIF(INDIRECT("disc_"&amp;$E116),G116:N116)=0))&gt;0,"Izabrana disciplina nije moguća za uzrast "&amp;$E116,IF(AND(COUNTIF(G116:N116,"Fudokan sport kumite")&gt;0,O116=""),"Nedostaje telesna težina za Fudokan sport kumite",IF(AND(COUNTIF(G116:N116,"Fudokan sport kumite")=0,O116&lt;&gt;""),"Telesna težina se unosi isključivo uz Fudokan sport kumite","prijava je kompletna")))))))))))</f>
        <v/>
      </c>
      <c r="Q116">
        <f>IF($E116="","sve_discipline","disc_"&amp;$E116)</f>
        <v/>
      </c>
      <c r="R116">
        <f>IF(OR($E116="",$C116=""),"sve_kilaze","kg_"&amp;$E116&amp;"_"&amp;IF($C116="ženski","Z","M"))</f>
        <v/>
      </c>
    </row>
    <row r="117" spans="1:18">
      <c r="A117" s="5"/>
      <c r="B117" s="5"/>
      <c r="C117" s="5"/>
      <c r="D117" s="5"/>
      <c r="E117" s="7">
        <f>IF($A117="","",LOOKUP($A117,INDEX(grupe,0,1),INDEX(grupe,0,2)))</f>
        <v/>
      </c>
      <c r="F117" s="7">
        <f>IF($E117="","",VLOOKUP($E117,INDEX(grupe,0,2):INDEX(grupe,0,3),2,FALSE))</f>
        <v/>
      </c>
      <c r="G117" s="5"/>
      <c r="H117" s="5"/>
      <c r="I117" s="5"/>
      <c r="J117" s="5"/>
      <c r="K117" s="5"/>
      <c r="L117" s="5"/>
      <c r="M117" s="5"/>
      <c r="N117" s="5"/>
      <c r="O117" s="5"/>
      <c r="P117" s="8">
        <f>IF(COUNTA($A117:$D117,G117:N117)=0,"",IF($A117="","Nedostaje godište",IF($E117="","Godište nije obuhvaćeno uzrasnom tabelom",IF($B117="","Nedostaje ime i prezime",IF(NOT(SUMPRODUCT(--ISERROR(FIND(MID($B117&amp;REPT("a",60),ROW($A$1:$A$60),1),"ABCDEFGHIJKLMNOPQRSTUVWXYZabcdefghijklmnopqrstuvwxyzČĆĐŠŽčćđšž -'")))=0),"Ime sadrži znakove koji nisu slova",IF($C117="","Nedostaje pol",IF($D117="","Nedostaje pojas",IF(COUNTA(G117:N117)=0,"Nije izabrana nijedna disciplina",IF(SUMPRODUCT(--(G117:N117&lt;&gt;""),--(COUNTIF(INDIRECT("disc_"&amp;$E117),G117:N117)=0))&gt;0,"Izabrana disciplina nije moguća za uzrast "&amp;$E117,IF(AND(COUNTIF(G117:N117,"Fudokan sport kumite")&gt;0,O117=""),"Nedostaje telesna težina za Fudokan sport kumite",IF(AND(COUNTIF(G117:N117,"Fudokan sport kumite")=0,O117&lt;&gt;""),"Telesna težina se unosi isključivo uz Fudokan sport kumite","prijava je kompletna")))))))))))</f>
        <v/>
      </c>
      <c r="Q117">
        <f>IF($E117="","sve_discipline","disc_"&amp;$E117)</f>
        <v/>
      </c>
      <c r="R117">
        <f>IF(OR($E117="",$C117=""),"sve_kilaze","kg_"&amp;$E117&amp;"_"&amp;IF($C117="ženski","Z","M"))</f>
        <v/>
      </c>
    </row>
    <row r="118" spans="1:18">
      <c r="A118" s="5"/>
      <c r="B118" s="5"/>
      <c r="C118" s="5"/>
      <c r="D118" s="5"/>
      <c r="E118" s="7">
        <f>IF($A118="","",LOOKUP($A118,INDEX(grupe,0,1),INDEX(grupe,0,2)))</f>
        <v/>
      </c>
      <c r="F118" s="7">
        <f>IF($E118="","",VLOOKUP($E118,INDEX(grupe,0,2):INDEX(grupe,0,3),2,FALSE))</f>
        <v/>
      </c>
      <c r="G118" s="5"/>
      <c r="H118" s="5"/>
      <c r="I118" s="5"/>
      <c r="J118" s="5"/>
      <c r="K118" s="5"/>
      <c r="L118" s="5"/>
      <c r="M118" s="5"/>
      <c r="N118" s="5"/>
      <c r="O118" s="5"/>
      <c r="P118" s="8">
        <f>IF(COUNTA($A118:$D118,G118:N118)=0,"",IF($A118="","Nedostaje godište",IF($E118="","Godište nije obuhvaćeno uzrasnom tabelom",IF($B118="","Nedostaje ime i prezime",IF(NOT(SUMPRODUCT(--ISERROR(FIND(MID($B118&amp;REPT("a",60),ROW($A$1:$A$60),1),"ABCDEFGHIJKLMNOPQRSTUVWXYZabcdefghijklmnopqrstuvwxyzČĆĐŠŽčćđšž -'")))=0),"Ime sadrži znakove koji nisu slova",IF($C118="","Nedostaje pol",IF($D118="","Nedostaje pojas",IF(COUNTA(G118:N118)=0,"Nije izabrana nijedna disciplina",IF(SUMPRODUCT(--(G118:N118&lt;&gt;""),--(COUNTIF(INDIRECT("disc_"&amp;$E118),G118:N118)=0))&gt;0,"Izabrana disciplina nije moguća za uzrast "&amp;$E118,IF(AND(COUNTIF(G118:N118,"Fudokan sport kumite")&gt;0,O118=""),"Nedostaje telesna težina za Fudokan sport kumite",IF(AND(COUNTIF(G118:N118,"Fudokan sport kumite")=0,O118&lt;&gt;""),"Telesna težina se unosi isključivo uz Fudokan sport kumite","prijava je kompletna")))))))))))</f>
        <v/>
      </c>
      <c r="Q118">
        <f>IF($E118="","sve_discipline","disc_"&amp;$E118)</f>
        <v/>
      </c>
      <c r="R118">
        <f>IF(OR($E118="",$C118=""),"sve_kilaze","kg_"&amp;$E118&amp;"_"&amp;IF($C118="ženski","Z","M"))</f>
        <v/>
      </c>
    </row>
    <row r="119" spans="1:18">
      <c r="A119" s="5"/>
      <c r="B119" s="5"/>
      <c r="C119" s="5"/>
      <c r="D119" s="5"/>
      <c r="E119" s="7">
        <f>IF($A119="","",LOOKUP($A119,INDEX(grupe,0,1),INDEX(grupe,0,2)))</f>
        <v/>
      </c>
      <c r="F119" s="7">
        <f>IF($E119="","",VLOOKUP($E119,INDEX(grupe,0,2):INDEX(grupe,0,3),2,FALSE))</f>
        <v/>
      </c>
      <c r="G119" s="5"/>
      <c r="H119" s="5"/>
      <c r="I119" s="5"/>
      <c r="J119" s="5"/>
      <c r="K119" s="5"/>
      <c r="L119" s="5"/>
      <c r="M119" s="5"/>
      <c r="N119" s="5"/>
      <c r="O119" s="5"/>
      <c r="P119" s="8">
        <f>IF(COUNTA($A119:$D119,G119:N119)=0,"",IF($A119="","Nedostaje godište",IF($E119="","Godište nije obuhvaćeno uzrasnom tabelom",IF($B119="","Nedostaje ime i prezime",IF(NOT(SUMPRODUCT(--ISERROR(FIND(MID($B119&amp;REPT("a",60),ROW($A$1:$A$60),1),"ABCDEFGHIJKLMNOPQRSTUVWXYZabcdefghijklmnopqrstuvwxyzČĆĐŠŽčćđšž -'")))=0),"Ime sadrži znakove koji nisu slova",IF($C119="","Nedostaje pol",IF($D119="","Nedostaje pojas",IF(COUNTA(G119:N119)=0,"Nije izabrana nijedna disciplina",IF(SUMPRODUCT(--(G119:N119&lt;&gt;""),--(COUNTIF(INDIRECT("disc_"&amp;$E119),G119:N119)=0))&gt;0,"Izabrana disciplina nije moguća za uzrast "&amp;$E119,IF(AND(COUNTIF(G119:N119,"Fudokan sport kumite")&gt;0,O119=""),"Nedostaje telesna težina za Fudokan sport kumite",IF(AND(COUNTIF(G119:N119,"Fudokan sport kumite")=0,O119&lt;&gt;""),"Telesna težina se unosi isključivo uz Fudokan sport kumite","prijava je kompletna")))))))))))</f>
        <v/>
      </c>
      <c r="Q119">
        <f>IF($E119="","sve_discipline","disc_"&amp;$E119)</f>
        <v/>
      </c>
      <c r="R119">
        <f>IF(OR($E119="",$C119=""),"sve_kilaze","kg_"&amp;$E119&amp;"_"&amp;IF($C119="ženski","Z","M"))</f>
        <v/>
      </c>
    </row>
    <row r="120" spans="1:18">
      <c r="A120" s="5"/>
      <c r="B120" s="5"/>
      <c r="C120" s="5"/>
      <c r="D120" s="5"/>
      <c r="E120" s="7">
        <f>IF($A120="","",LOOKUP($A120,INDEX(grupe,0,1),INDEX(grupe,0,2)))</f>
        <v/>
      </c>
      <c r="F120" s="7">
        <f>IF($E120="","",VLOOKUP($E120,INDEX(grupe,0,2):INDEX(grupe,0,3),2,FALSE))</f>
        <v/>
      </c>
      <c r="G120" s="5"/>
      <c r="H120" s="5"/>
      <c r="I120" s="5"/>
      <c r="J120" s="5"/>
      <c r="K120" s="5"/>
      <c r="L120" s="5"/>
      <c r="M120" s="5"/>
      <c r="N120" s="5"/>
      <c r="O120" s="5"/>
      <c r="P120" s="8">
        <f>IF(COUNTA($A120:$D120,G120:N120)=0,"",IF($A120="","Nedostaje godište",IF($E120="","Godište nije obuhvaćeno uzrasnom tabelom",IF($B120="","Nedostaje ime i prezime",IF(NOT(SUMPRODUCT(--ISERROR(FIND(MID($B120&amp;REPT("a",60),ROW($A$1:$A$60),1),"ABCDEFGHIJKLMNOPQRSTUVWXYZabcdefghijklmnopqrstuvwxyzČĆĐŠŽčćđšž -'")))=0),"Ime sadrži znakove koji nisu slova",IF($C120="","Nedostaje pol",IF($D120="","Nedostaje pojas",IF(COUNTA(G120:N120)=0,"Nije izabrana nijedna disciplina",IF(SUMPRODUCT(--(G120:N120&lt;&gt;""),--(COUNTIF(INDIRECT("disc_"&amp;$E120),G120:N120)=0))&gt;0,"Izabrana disciplina nije moguća za uzrast "&amp;$E120,IF(AND(COUNTIF(G120:N120,"Fudokan sport kumite")&gt;0,O120=""),"Nedostaje telesna težina za Fudokan sport kumite",IF(AND(COUNTIF(G120:N120,"Fudokan sport kumite")=0,O120&lt;&gt;""),"Telesna težina se unosi isključivo uz Fudokan sport kumite","prijava je kompletna")))))))))))</f>
        <v/>
      </c>
      <c r="Q120">
        <f>IF($E120="","sve_discipline","disc_"&amp;$E120)</f>
        <v/>
      </c>
      <c r="R120">
        <f>IF(OR($E120="",$C120=""),"sve_kilaze","kg_"&amp;$E120&amp;"_"&amp;IF($C120="ženski","Z","M"))</f>
        <v/>
      </c>
    </row>
    <row r="121" spans="1:18">
      <c r="A121" s="5"/>
      <c r="B121" s="5"/>
      <c r="C121" s="5"/>
      <c r="D121" s="5"/>
      <c r="E121" s="7">
        <f>IF($A121="","",LOOKUP($A121,INDEX(grupe,0,1),INDEX(grupe,0,2)))</f>
        <v/>
      </c>
      <c r="F121" s="7">
        <f>IF($E121="","",VLOOKUP($E121,INDEX(grupe,0,2):INDEX(grupe,0,3),2,FALSE))</f>
        <v/>
      </c>
      <c r="G121" s="5"/>
      <c r="H121" s="5"/>
      <c r="I121" s="5"/>
      <c r="J121" s="5"/>
      <c r="K121" s="5"/>
      <c r="L121" s="5"/>
      <c r="M121" s="5"/>
      <c r="N121" s="5"/>
      <c r="O121" s="5"/>
      <c r="P121" s="8">
        <f>IF(COUNTA($A121:$D121,G121:N121)=0,"",IF($A121="","Nedostaje godište",IF($E121="","Godište nije obuhvaćeno uzrasnom tabelom",IF($B121="","Nedostaje ime i prezime",IF(NOT(SUMPRODUCT(--ISERROR(FIND(MID($B121&amp;REPT("a",60),ROW($A$1:$A$60),1),"ABCDEFGHIJKLMNOPQRSTUVWXYZabcdefghijklmnopqrstuvwxyzČĆĐŠŽčćđšž -'")))=0),"Ime sadrži znakove koji nisu slova",IF($C121="","Nedostaje pol",IF($D121="","Nedostaje pojas",IF(COUNTA(G121:N121)=0,"Nije izabrana nijedna disciplina",IF(SUMPRODUCT(--(G121:N121&lt;&gt;""),--(COUNTIF(INDIRECT("disc_"&amp;$E121),G121:N121)=0))&gt;0,"Izabrana disciplina nije moguća za uzrast "&amp;$E121,IF(AND(COUNTIF(G121:N121,"Fudokan sport kumite")&gt;0,O121=""),"Nedostaje telesna težina za Fudokan sport kumite",IF(AND(COUNTIF(G121:N121,"Fudokan sport kumite")=0,O121&lt;&gt;""),"Telesna težina se unosi isključivo uz Fudokan sport kumite","prijava je kompletna")))))))))))</f>
        <v/>
      </c>
      <c r="Q121">
        <f>IF($E121="","sve_discipline","disc_"&amp;$E121)</f>
        <v/>
      </c>
      <c r="R121">
        <f>IF(OR($E121="",$C121=""),"sve_kilaze","kg_"&amp;$E121&amp;"_"&amp;IF($C121="ženski","Z","M"))</f>
        <v/>
      </c>
    </row>
    <row r="122" spans="1:18">
      <c r="A122" s="5"/>
      <c r="B122" s="5"/>
      <c r="C122" s="5"/>
      <c r="D122" s="5"/>
      <c r="E122" s="7">
        <f>IF($A122="","",LOOKUP($A122,INDEX(grupe,0,1),INDEX(grupe,0,2)))</f>
        <v/>
      </c>
      <c r="F122" s="7">
        <f>IF($E122="","",VLOOKUP($E122,INDEX(grupe,0,2):INDEX(grupe,0,3),2,FALSE))</f>
        <v/>
      </c>
      <c r="G122" s="5"/>
      <c r="H122" s="5"/>
      <c r="I122" s="5"/>
      <c r="J122" s="5"/>
      <c r="K122" s="5"/>
      <c r="L122" s="5"/>
      <c r="M122" s="5"/>
      <c r="N122" s="5"/>
      <c r="O122" s="5"/>
      <c r="P122" s="8">
        <f>IF(COUNTA($A122:$D122,G122:N122)=0,"",IF($A122="","Nedostaje godište",IF($E122="","Godište nije obuhvaćeno uzrasnom tabelom",IF($B122="","Nedostaje ime i prezime",IF(NOT(SUMPRODUCT(--ISERROR(FIND(MID($B122&amp;REPT("a",60),ROW($A$1:$A$60),1),"ABCDEFGHIJKLMNOPQRSTUVWXYZabcdefghijklmnopqrstuvwxyzČĆĐŠŽčćđšž -'")))=0),"Ime sadrži znakove koji nisu slova",IF($C122="","Nedostaje pol",IF($D122="","Nedostaje pojas",IF(COUNTA(G122:N122)=0,"Nije izabrana nijedna disciplina",IF(SUMPRODUCT(--(G122:N122&lt;&gt;""),--(COUNTIF(INDIRECT("disc_"&amp;$E122),G122:N122)=0))&gt;0,"Izabrana disciplina nije moguća za uzrast "&amp;$E122,IF(AND(COUNTIF(G122:N122,"Fudokan sport kumite")&gt;0,O122=""),"Nedostaje telesna težina za Fudokan sport kumite",IF(AND(COUNTIF(G122:N122,"Fudokan sport kumite")=0,O122&lt;&gt;""),"Telesna težina se unosi isključivo uz Fudokan sport kumite","prijava je kompletna")))))))))))</f>
        <v/>
      </c>
      <c r="Q122">
        <f>IF($E122="","sve_discipline","disc_"&amp;$E122)</f>
        <v/>
      </c>
      <c r="R122">
        <f>IF(OR($E122="",$C122=""),"sve_kilaze","kg_"&amp;$E122&amp;"_"&amp;IF($C122="ženski","Z","M"))</f>
        <v/>
      </c>
    </row>
    <row r="123" spans="1:18">
      <c r="A123" s="5"/>
      <c r="B123" s="5"/>
      <c r="C123" s="5"/>
      <c r="D123" s="5"/>
      <c r="E123" s="7">
        <f>IF($A123="","",LOOKUP($A123,INDEX(grupe,0,1),INDEX(grupe,0,2)))</f>
        <v/>
      </c>
      <c r="F123" s="7">
        <f>IF($E123="","",VLOOKUP($E123,INDEX(grupe,0,2):INDEX(grupe,0,3),2,FALSE))</f>
        <v/>
      </c>
      <c r="G123" s="5"/>
      <c r="H123" s="5"/>
      <c r="I123" s="5"/>
      <c r="J123" s="5"/>
      <c r="K123" s="5"/>
      <c r="L123" s="5"/>
      <c r="M123" s="5"/>
      <c r="N123" s="5"/>
      <c r="O123" s="5"/>
      <c r="P123" s="8">
        <f>IF(COUNTA($A123:$D123,G123:N123)=0,"",IF($A123="","Nedostaje godište",IF($E123="","Godište nije obuhvaćeno uzrasnom tabelom",IF($B123="","Nedostaje ime i prezime",IF(NOT(SUMPRODUCT(--ISERROR(FIND(MID($B123&amp;REPT("a",60),ROW($A$1:$A$60),1),"ABCDEFGHIJKLMNOPQRSTUVWXYZabcdefghijklmnopqrstuvwxyzČĆĐŠŽčćđšž -'")))=0),"Ime sadrži znakove koji nisu slova",IF($C123="","Nedostaje pol",IF($D123="","Nedostaje pojas",IF(COUNTA(G123:N123)=0,"Nije izabrana nijedna disciplina",IF(SUMPRODUCT(--(G123:N123&lt;&gt;""),--(COUNTIF(INDIRECT("disc_"&amp;$E123),G123:N123)=0))&gt;0,"Izabrana disciplina nije moguća za uzrast "&amp;$E123,IF(AND(COUNTIF(G123:N123,"Fudokan sport kumite")&gt;0,O123=""),"Nedostaje telesna težina za Fudokan sport kumite",IF(AND(COUNTIF(G123:N123,"Fudokan sport kumite")=0,O123&lt;&gt;""),"Telesna težina se unosi isključivo uz Fudokan sport kumite","prijava je kompletna")))))))))))</f>
        <v/>
      </c>
      <c r="Q123">
        <f>IF($E123="","sve_discipline","disc_"&amp;$E123)</f>
        <v/>
      </c>
      <c r="R123">
        <f>IF(OR($E123="",$C123=""),"sve_kilaze","kg_"&amp;$E123&amp;"_"&amp;IF($C123="ženski","Z","M"))</f>
        <v/>
      </c>
    </row>
    <row r="124" spans="1:18">
      <c r="A124" s="5"/>
      <c r="B124" s="5"/>
      <c r="C124" s="5"/>
      <c r="D124" s="5"/>
      <c r="E124" s="7">
        <f>IF($A124="","",LOOKUP($A124,INDEX(grupe,0,1),INDEX(grupe,0,2)))</f>
        <v/>
      </c>
      <c r="F124" s="7">
        <f>IF($E124="","",VLOOKUP($E124,INDEX(grupe,0,2):INDEX(grupe,0,3),2,FALSE))</f>
        <v/>
      </c>
      <c r="G124" s="5"/>
      <c r="H124" s="5"/>
      <c r="I124" s="5"/>
      <c r="J124" s="5"/>
      <c r="K124" s="5"/>
      <c r="L124" s="5"/>
      <c r="M124" s="5"/>
      <c r="N124" s="5"/>
      <c r="O124" s="5"/>
      <c r="P124" s="8">
        <f>IF(COUNTA($A124:$D124,G124:N124)=0,"",IF($A124="","Nedostaje godište",IF($E124="","Godište nije obuhvaćeno uzrasnom tabelom",IF($B124="","Nedostaje ime i prezime",IF(NOT(SUMPRODUCT(--ISERROR(FIND(MID($B124&amp;REPT("a",60),ROW($A$1:$A$60),1),"ABCDEFGHIJKLMNOPQRSTUVWXYZabcdefghijklmnopqrstuvwxyzČĆĐŠŽčćđšž -'")))=0),"Ime sadrži znakove koji nisu slova",IF($C124="","Nedostaje pol",IF($D124="","Nedostaje pojas",IF(COUNTA(G124:N124)=0,"Nije izabrana nijedna disciplina",IF(SUMPRODUCT(--(G124:N124&lt;&gt;""),--(COUNTIF(INDIRECT("disc_"&amp;$E124),G124:N124)=0))&gt;0,"Izabrana disciplina nije moguća za uzrast "&amp;$E124,IF(AND(COUNTIF(G124:N124,"Fudokan sport kumite")&gt;0,O124=""),"Nedostaje telesna težina za Fudokan sport kumite",IF(AND(COUNTIF(G124:N124,"Fudokan sport kumite")=0,O124&lt;&gt;""),"Telesna težina se unosi isključivo uz Fudokan sport kumite","prijava je kompletna")))))))))))</f>
        <v/>
      </c>
      <c r="Q124">
        <f>IF($E124="","sve_discipline","disc_"&amp;$E124)</f>
        <v/>
      </c>
      <c r="R124">
        <f>IF(OR($E124="",$C124=""),"sve_kilaze","kg_"&amp;$E124&amp;"_"&amp;IF($C124="ženski","Z","M"))</f>
        <v/>
      </c>
    </row>
    <row r="125" spans="1:18">
      <c r="A125" s="5"/>
      <c r="B125" s="5"/>
      <c r="C125" s="5"/>
      <c r="D125" s="5"/>
      <c r="E125" s="7">
        <f>IF($A125="","",LOOKUP($A125,INDEX(grupe,0,1),INDEX(grupe,0,2)))</f>
        <v/>
      </c>
      <c r="F125" s="7">
        <f>IF($E125="","",VLOOKUP($E125,INDEX(grupe,0,2):INDEX(grupe,0,3),2,FALSE))</f>
        <v/>
      </c>
      <c r="G125" s="5"/>
      <c r="H125" s="5"/>
      <c r="I125" s="5"/>
      <c r="J125" s="5"/>
      <c r="K125" s="5"/>
      <c r="L125" s="5"/>
      <c r="M125" s="5"/>
      <c r="N125" s="5"/>
      <c r="O125" s="5"/>
      <c r="P125" s="8">
        <f>IF(COUNTA($A125:$D125,G125:N125)=0,"",IF($A125="","Nedostaje godište",IF($E125="","Godište nije obuhvaćeno uzrasnom tabelom",IF($B125="","Nedostaje ime i prezime",IF(NOT(SUMPRODUCT(--ISERROR(FIND(MID($B125&amp;REPT("a",60),ROW($A$1:$A$60),1),"ABCDEFGHIJKLMNOPQRSTUVWXYZabcdefghijklmnopqrstuvwxyzČĆĐŠŽčćđšž -'")))=0),"Ime sadrži znakove koji nisu slova",IF($C125="","Nedostaje pol",IF($D125="","Nedostaje pojas",IF(COUNTA(G125:N125)=0,"Nije izabrana nijedna disciplina",IF(SUMPRODUCT(--(G125:N125&lt;&gt;""),--(COUNTIF(INDIRECT("disc_"&amp;$E125),G125:N125)=0))&gt;0,"Izabrana disciplina nije moguća za uzrast "&amp;$E125,IF(AND(COUNTIF(G125:N125,"Fudokan sport kumite")&gt;0,O125=""),"Nedostaje telesna težina za Fudokan sport kumite",IF(AND(COUNTIF(G125:N125,"Fudokan sport kumite")=0,O125&lt;&gt;""),"Telesna težina se unosi isključivo uz Fudokan sport kumite","prijava je kompletna")))))))))))</f>
        <v/>
      </c>
      <c r="Q125">
        <f>IF($E125="","sve_discipline","disc_"&amp;$E125)</f>
        <v/>
      </c>
      <c r="R125">
        <f>IF(OR($E125="",$C125=""),"sve_kilaze","kg_"&amp;$E125&amp;"_"&amp;IF($C125="ženski","Z","M"))</f>
        <v/>
      </c>
    </row>
    <row r="126" spans="1:18">
      <c r="A126" s="5"/>
      <c r="B126" s="5"/>
      <c r="C126" s="5"/>
      <c r="D126" s="5"/>
      <c r="E126" s="7">
        <f>IF($A126="","",LOOKUP($A126,INDEX(grupe,0,1),INDEX(grupe,0,2)))</f>
        <v/>
      </c>
      <c r="F126" s="7">
        <f>IF($E126="","",VLOOKUP($E126,INDEX(grupe,0,2):INDEX(grupe,0,3),2,FALSE))</f>
        <v/>
      </c>
      <c r="G126" s="5"/>
      <c r="H126" s="5"/>
      <c r="I126" s="5"/>
      <c r="J126" s="5"/>
      <c r="K126" s="5"/>
      <c r="L126" s="5"/>
      <c r="M126" s="5"/>
      <c r="N126" s="5"/>
      <c r="O126" s="5"/>
      <c r="P126" s="8">
        <f>IF(COUNTA($A126:$D126,G126:N126)=0,"",IF($A126="","Nedostaje godište",IF($E126="","Godište nije obuhvaćeno uzrasnom tabelom",IF($B126="","Nedostaje ime i prezime",IF(NOT(SUMPRODUCT(--ISERROR(FIND(MID($B126&amp;REPT("a",60),ROW($A$1:$A$60),1),"ABCDEFGHIJKLMNOPQRSTUVWXYZabcdefghijklmnopqrstuvwxyzČĆĐŠŽčćđšž -'")))=0),"Ime sadrži znakove koji nisu slova",IF($C126="","Nedostaje pol",IF($D126="","Nedostaje pojas",IF(COUNTA(G126:N126)=0,"Nije izabrana nijedna disciplina",IF(SUMPRODUCT(--(G126:N126&lt;&gt;""),--(COUNTIF(INDIRECT("disc_"&amp;$E126),G126:N126)=0))&gt;0,"Izabrana disciplina nije moguća za uzrast "&amp;$E126,IF(AND(COUNTIF(G126:N126,"Fudokan sport kumite")&gt;0,O126=""),"Nedostaje telesna težina za Fudokan sport kumite",IF(AND(COUNTIF(G126:N126,"Fudokan sport kumite")=0,O126&lt;&gt;""),"Telesna težina se unosi isključivo uz Fudokan sport kumite","prijava je kompletna")))))))))))</f>
        <v/>
      </c>
      <c r="Q126">
        <f>IF($E126="","sve_discipline","disc_"&amp;$E126)</f>
        <v/>
      </c>
      <c r="R126">
        <f>IF(OR($E126="",$C126=""),"sve_kilaze","kg_"&amp;$E126&amp;"_"&amp;IF($C126="ženski","Z","M"))</f>
        <v/>
      </c>
    </row>
    <row r="127" spans="1:18">
      <c r="A127" s="5"/>
      <c r="B127" s="5"/>
      <c r="C127" s="5"/>
      <c r="D127" s="5"/>
      <c r="E127" s="7">
        <f>IF($A127="","",LOOKUP($A127,INDEX(grupe,0,1),INDEX(grupe,0,2)))</f>
        <v/>
      </c>
      <c r="F127" s="7">
        <f>IF($E127="","",VLOOKUP($E127,INDEX(grupe,0,2):INDEX(grupe,0,3),2,FALSE))</f>
        <v/>
      </c>
      <c r="G127" s="5"/>
      <c r="H127" s="5"/>
      <c r="I127" s="5"/>
      <c r="J127" s="5"/>
      <c r="K127" s="5"/>
      <c r="L127" s="5"/>
      <c r="M127" s="5"/>
      <c r="N127" s="5"/>
      <c r="O127" s="5"/>
      <c r="P127" s="8">
        <f>IF(COUNTA($A127:$D127,G127:N127)=0,"",IF($A127="","Nedostaje godište",IF($E127="","Godište nije obuhvaćeno uzrasnom tabelom",IF($B127="","Nedostaje ime i prezime",IF(NOT(SUMPRODUCT(--ISERROR(FIND(MID($B127&amp;REPT("a",60),ROW($A$1:$A$60),1),"ABCDEFGHIJKLMNOPQRSTUVWXYZabcdefghijklmnopqrstuvwxyzČĆĐŠŽčćđšž -'")))=0),"Ime sadrži znakove koji nisu slova",IF($C127="","Nedostaje pol",IF($D127="","Nedostaje pojas",IF(COUNTA(G127:N127)=0,"Nije izabrana nijedna disciplina",IF(SUMPRODUCT(--(G127:N127&lt;&gt;""),--(COUNTIF(INDIRECT("disc_"&amp;$E127),G127:N127)=0))&gt;0,"Izabrana disciplina nije moguća za uzrast "&amp;$E127,IF(AND(COUNTIF(G127:N127,"Fudokan sport kumite")&gt;0,O127=""),"Nedostaje telesna težina za Fudokan sport kumite",IF(AND(COUNTIF(G127:N127,"Fudokan sport kumite")=0,O127&lt;&gt;""),"Telesna težina se unosi isključivo uz Fudokan sport kumite","prijava je kompletna")))))))))))</f>
        <v/>
      </c>
      <c r="Q127">
        <f>IF($E127="","sve_discipline","disc_"&amp;$E127)</f>
        <v/>
      </c>
      <c r="R127">
        <f>IF(OR($E127="",$C127=""),"sve_kilaze","kg_"&amp;$E127&amp;"_"&amp;IF($C127="ženski","Z","M"))</f>
        <v/>
      </c>
    </row>
    <row r="128" spans="1:18">
      <c r="A128" s="5"/>
      <c r="B128" s="5"/>
      <c r="C128" s="5"/>
      <c r="D128" s="5"/>
      <c r="E128" s="7">
        <f>IF($A128="","",LOOKUP($A128,INDEX(grupe,0,1),INDEX(grupe,0,2)))</f>
        <v/>
      </c>
      <c r="F128" s="7">
        <f>IF($E128="","",VLOOKUP($E128,INDEX(grupe,0,2):INDEX(grupe,0,3),2,FALSE))</f>
        <v/>
      </c>
      <c r="G128" s="5"/>
      <c r="H128" s="5"/>
      <c r="I128" s="5"/>
      <c r="J128" s="5"/>
      <c r="K128" s="5"/>
      <c r="L128" s="5"/>
      <c r="M128" s="5"/>
      <c r="N128" s="5"/>
      <c r="O128" s="5"/>
      <c r="P128" s="8">
        <f>IF(COUNTA($A128:$D128,G128:N128)=0,"",IF($A128="","Nedostaje godište",IF($E128="","Godište nije obuhvaćeno uzrasnom tabelom",IF($B128="","Nedostaje ime i prezime",IF(NOT(SUMPRODUCT(--ISERROR(FIND(MID($B128&amp;REPT("a",60),ROW($A$1:$A$60),1),"ABCDEFGHIJKLMNOPQRSTUVWXYZabcdefghijklmnopqrstuvwxyzČĆĐŠŽčćđšž -'")))=0),"Ime sadrži znakove koji nisu slova",IF($C128="","Nedostaje pol",IF($D128="","Nedostaje pojas",IF(COUNTA(G128:N128)=0,"Nije izabrana nijedna disciplina",IF(SUMPRODUCT(--(G128:N128&lt;&gt;""),--(COUNTIF(INDIRECT("disc_"&amp;$E128),G128:N128)=0))&gt;0,"Izabrana disciplina nije moguća za uzrast "&amp;$E128,IF(AND(COUNTIF(G128:N128,"Fudokan sport kumite")&gt;0,O128=""),"Nedostaje telesna težina za Fudokan sport kumite",IF(AND(COUNTIF(G128:N128,"Fudokan sport kumite")=0,O128&lt;&gt;""),"Telesna težina se unosi isključivo uz Fudokan sport kumite","prijava je kompletna")))))))))))</f>
        <v/>
      </c>
      <c r="Q128">
        <f>IF($E128="","sve_discipline","disc_"&amp;$E128)</f>
        <v/>
      </c>
      <c r="R128">
        <f>IF(OR($E128="",$C128=""),"sve_kilaze","kg_"&amp;$E128&amp;"_"&amp;IF($C128="ženski","Z","M"))</f>
        <v/>
      </c>
    </row>
    <row r="129" spans="1:18">
      <c r="A129" s="5"/>
      <c r="B129" s="5"/>
      <c r="C129" s="5"/>
      <c r="D129" s="5"/>
      <c r="E129" s="7">
        <f>IF($A129="","",LOOKUP($A129,INDEX(grupe,0,1),INDEX(grupe,0,2)))</f>
        <v/>
      </c>
      <c r="F129" s="7">
        <f>IF($E129="","",VLOOKUP($E129,INDEX(grupe,0,2):INDEX(grupe,0,3),2,FALSE))</f>
        <v/>
      </c>
      <c r="G129" s="5"/>
      <c r="H129" s="5"/>
      <c r="I129" s="5"/>
      <c r="J129" s="5"/>
      <c r="K129" s="5"/>
      <c r="L129" s="5"/>
      <c r="M129" s="5"/>
      <c r="N129" s="5"/>
      <c r="O129" s="5"/>
      <c r="P129" s="8">
        <f>IF(COUNTA($A129:$D129,G129:N129)=0,"",IF($A129="","Nedostaje godište",IF($E129="","Godište nije obuhvaćeno uzrasnom tabelom",IF($B129="","Nedostaje ime i prezime",IF(NOT(SUMPRODUCT(--ISERROR(FIND(MID($B129&amp;REPT("a",60),ROW($A$1:$A$60),1),"ABCDEFGHIJKLMNOPQRSTUVWXYZabcdefghijklmnopqrstuvwxyzČĆĐŠŽčćđšž -'")))=0),"Ime sadrži znakove koji nisu slova",IF($C129="","Nedostaje pol",IF($D129="","Nedostaje pojas",IF(COUNTA(G129:N129)=0,"Nije izabrana nijedna disciplina",IF(SUMPRODUCT(--(G129:N129&lt;&gt;""),--(COUNTIF(INDIRECT("disc_"&amp;$E129),G129:N129)=0))&gt;0,"Izabrana disciplina nije moguća za uzrast "&amp;$E129,IF(AND(COUNTIF(G129:N129,"Fudokan sport kumite")&gt;0,O129=""),"Nedostaje telesna težina za Fudokan sport kumite",IF(AND(COUNTIF(G129:N129,"Fudokan sport kumite")=0,O129&lt;&gt;""),"Telesna težina se unosi isključivo uz Fudokan sport kumite","prijava je kompletna")))))))))))</f>
        <v/>
      </c>
      <c r="Q129">
        <f>IF($E129="","sve_discipline","disc_"&amp;$E129)</f>
        <v/>
      </c>
      <c r="R129">
        <f>IF(OR($E129="",$C129=""),"sve_kilaze","kg_"&amp;$E129&amp;"_"&amp;IF($C129="ženski","Z","M"))</f>
        <v/>
      </c>
    </row>
    <row r="130" spans="1:18">
      <c r="A130" s="5"/>
      <c r="B130" s="5"/>
      <c r="C130" s="5"/>
      <c r="D130" s="5"/>
      <c r="E130" s="7">
        <f>IF($A130="","",LOOKUP($A130,INDEX(grupe,0,1),INDEX(grupe,0,2)))</f>
        <v/>
      </c>
      <c r="F130" s="7">
        <f>IF($E130="","",VLOOKUP($E130,INDEX(grupe,0,2):INDEX(grupe,0,3),2,FALSE))</f>
        <v/>
      </c>
      <c r="G130" s="5"/>
      <c r="H130" s="5"/>
      <c r="I130" s="5"/>
      <c r="J130" s="5"/>
      <c r="K130" s="5"/>
      <c r="L130" s="5"/>
      <c r="M130" s="5"/>
      <c r="N130" s="5"/>
      <c r="O130" s="5"/>
      <c r="P130" s="8">
        <f>IF(COUNTA($A130:$D130,G130:N130)=0,"",IF($A130="","Nedostaje godište",IF($E130="","Godište nije obuhvaćeno uzrasnom tabelom",IF($B130="","Nedostaje ime i prezime",IF(NOT(SUMPRODUCT(--ISERROR(FIND(MID($B130&amp;REPT("a",60),ROW($A$1:$A$60),1),"ABCDEFGHIJKLMNOPQRSTUVWXYZabcdefghijklmnopqrstuvwxyzČĆĐŠŽčćđšž -'")))=0),"Ime sadrži znakove koji nisu slova",IF($C130="","Nedostaje pol",IF($D130="","Nedostaje pojas",IF(COUNTA(G130:N130)=0,"Nije izabrana nijedna disciplina",IF(SUMPRODUCT(--(G130:N130&lt;&gt;""),--(COUNTIF(INDIRECT("disc_"&amp;$E130),G130:N130)=0))&gt;0,"Izabrana disciplina nije moguća za uzrast "&amp;$E130,IF(AND(COUNTIF(G130:N130,"Fudokan sport kumite")&gt;0,O130=""),"Nedostaje telesna težina za Fudokan sport kumite",IF(AND(COUNTIF(G130:N130,"Fudokan sport kumite")=0,O130&lt;&gt;""),"Telesna težina se unosi isključivo uz Fudokan sport kumite","prijava je kompletna")))))))))))</f>
        <v/>
      </c>
      <c r="Q130">
        <f>IF($E130="","sve_discipline","disc_"&amp;$E130)</f>
        <v/>
      </c>
      <c r="R130">
        <f>IF(OR($E130="",$C130=""),"sve_kilaze","kg_"&amp;$E130&amp;"_"&amp;IF($C130="ženski","Z","M"))</f>
        <v/>
      </c>
    </row>
  </sheetData>
  <sheetProtection sheet="1" objects="1" scenarios="1" formatColumns="0" formatRows="0"/>
  <mergeCells count="1">
    <mergeCell ref="A3:P3"/>
  </mergeCells>
  <dataValidations count="6">
    <dataValidation type="list" allowBlank="1" showInputMessage="1" showErrorMessage="1" errorTitle="Godište" error="Godište se bira iz padajućeg menija." sqref="A11:A130">
      <formula1>godista</formula1>
    </dataValidation>
    <dataValidation type="list" allowBlank="1" showInputMessage="1" showErrorMessage="1" errorTitle="Pol" error="Pol se bira iz padajućeg menija." sqref="C11:C130">
      <formula1>polovi</formula1>
    </dataValidation>
    <dataValidation type="list" allowBlank="1" showInputMessage="1" showErrorMessage="1" errorTitle="Pojas" error="Pojas se bira iz padajućeg menija." sqref="D11:D130">
      <formula1>pojasevi</formula1>
    </dataValidation>
    <dataValidation type="list" allowBlank="1" showInputMessage="1" showErrorMessage="1" errorTitle="Disciplina" error="Godište se unosi pre discipline. Padajući meni nudi discipline koje su moguće u odnosu na uzrast." sqref="G11:N130">
      <formula1>INDIRECT($Q11)</formula1>
    </dataValidation>
    <dataValidation type="list" allowBlank="1" showInputMessage="1" showErrorMessage="1" errorTitle="Telesna težina" error="Godište i pol unose se pre telesne težine. Telesna težina unosi se isključivo uz Fudokan sport kumite, budući da je tradicionalni kumite apsolutna kategorija." sqref="O11:O130">
      <formula1>INDIRECT($R11)</formula1>
    </dataValidation>
    <dataValidation type="custom" allowBlank="1" showInputMessage="1" showErrorMessage="1" errorTitle="Ime i prezime" error="Polje prima isključivo slova, razmak, crticu i apostrof; cifre nisu dozvoljene." sqref="B11:B130">
      <formula1>AND(ISERROR(FIND("0",B11)),ISERROR(FIND("1",B11)),ISERROR(FIND("2",B11)),ISERROR(FIND("3",B11)),ISERROR(FIND("4",B11)),ISERROR(FIND("5",B11)),ISERROR(FIND("6",B11)),ISERROR(FIND("7",B11)),ISERROR(FIND("8",B11)),ISERROR(FIND("9",B11)))</formula1>
    </dataValidation>
  </dataValidations>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sheetPr>
    <pageSetUpPr fitToPage="1"/>
  </sheetPr>
  <dimension ref="A1:R129"/>
  <sheetViews>
    <sheetView workbookViewId="0">
      <pane ySplit="9" topLeftCell="A10" activePane="bottomLeft" state="frozen"/>
      <selection pane="bottomLeft"/>
    </sheetView>
  </sheetViews>
  <sheetFormatPr defaultRowHeight="15"/>
  <cols>
    <col min="1" max="1" width="24.7109375" customWidth="1"/>
    <col min="2" max="2" width="16.7109375" customWidth="1"/>
    <col min="3" max="3" width="8.7109375" customWidth="1"/>
    <col min="4" max="4" width="15.7109375" customWidth="1"/>
    <col min="5" max="5" width="11.7109375" customWidth="1"/>
    <col min="6" max="6" width="24.7109375" customWidth="1"/>
    <col min="7" max="7" width="10.7109375" customWidth="1"/>
    <col min="8" max="8" width="11.7109375" customWidth="1"/>
    <col min="9" max="9" width="24.7109375" customWidth="1"/>
    <col min="10" max="10" width="10.7109375" customWidth="1"/>
    <col min="11" max="11" width="11.7109375" customWidth="1"/>
    <col min="12" max="12" width="24.7109375" customWidth="1"/>
    <col min="13" max="13" width="10.7109375" customWidth="1"/>
    <col min="14" max="14" width="11.7109375" customWidth="1"/>
    <col min="15" max="15" width="24.7109375" customWidth="1"/>
    <col min="16" max="16" width="10.7109375" customWidth="1"/>
    <col min="17" max="17" width="36.7109375" customWidth="1"/>
    <col min="18" max="18" width="14.7109375" hidden="1" customWidth="1"/>
  </cols>
  <sheetData>
    <row r="1" spans="1:18">
      <c r="A1" s="1" t="s">
        <v>25</v>
      </c>
    </row>
    <row r="2" spans="1:18">
      <c r="A2" s="2" t="s">
        <v>26</v>
      </c>
    </row>
    <row r="3" spans="1:18" ht="28" customHeight="1">
      <c r="A3" s="3" t="s">
        <v>27</v>
      </c>
      <c r="B3" s="3"/>
      <c r="C3" s="3"/>
      <c r="D3" s="3"/>
      <c r="E3" s="3"/>
      <c r="F3" s="3"/>
      <c r="G3" s="3"/>
      <c r="H3" s="3"/>
      <c r="I3" s="3"/>
      <c r="J3" s="3"/>
      <c r="K3" s="3"/>
      <c r="L3" s="3"/>
      <c r="M3" s="3"/>
      <c r="N3" s="3"/>
      <c r="O3" s="3"/>
      <c r="P3" s="3"/>
      <c r="Q3" s="3"/>
    </row>
    <row r="4" spans="1:18">
      <c r="A4" s="4" t="s">
        <v>3</v>
      </c>
      <c r="B4" s="7">
        <f>Prijava!B4</f>
        <v/>
      </c>
      <c r="D4" s="2" t="s">
        <v>28</v>
      </c>
    </row>
    <row r="5" spans="1:18">
      <c r="A5" s="4" t="s">
        <v>5</v>
      </c>
      <c r="B5" s="7">
        <f>Prijava!B5</f>
        <v/>
      </c>
    </row>
    <row r="6" spans="1:18">
      <c r="A6" s="4" t="s">
        <v>6</v>
      </c>
      <c r="B6" s="7">
        <f>Prijava!B6</f>
        <v/>
      </c>
    </row>
    <row r="9" spans="1:18" ht="30" customHeight="1">
      <c r="A9" s="6" t="s">
        <v>29</v>
      </c>
      <c r="B9" s="6" t="s">
        <v>30</v>
      </c>
      <c r="C9" s="6" t="s">
        <v>13</v>
      </c>
      <c r="D9" s="6" t="s">
        <v>14</v>
      </c>
      <c r="E9" s="6" t="s">
        <v>31</v>
      </c>
      <c r="F9" s="6" t="s">
        <v>32</v>
      </c>
      <c r="G9" s="6" t="s">
        <v>33</v>
      </c>
      <c r="H9" s="6" t="s">
        <v>34</v>
      </c>
      <c r="I9" s="6" t="s">
        <v>35</v>
      </c>
      <c r="J9" s="6" t="s">
        <v>36</v>
      </c>
      <c r="K9" s="6" t="s">
        <v>37</v>
      </c>
      <c r="L9" s="6" t="s">
        <v>38</v>
      </c>
      <c r="M9" s="6" t="s">
        <v>39</v>
      </c>
      <c r="N9" s="6" t="s">
        <v>40</v>
      </c>
      <c r="O9" s="6" t="s">
        <v>41</v>
      </c>
      <c r="P9" s="6" t="s">
        <v>42</v>
      </c>
      <c r="Q9" s="6" t="s">
        <v>24</v>
      </c>
    </row>
    <row r="10" spans="1:18">
      <c r="A10" s="5"/>
      <c r="B10" s="5"/>
      <c r="C10" s="7">
        <f>IF($E10="","",LOOKUP($E10,INDEX(grupe,0,1),INDEX(grupe,0,2)))</f>
        <v/>
      </c>
      <c r="D10" s="7">
        <f>IF($C10="","",VLOOKUP($C10,INDEX(grupe,0,2):INDEX(grupe,0,3),2,FALSE))</f>
        <v/>
      </c>
      <c r="E10" s="5"/>
      <c r="F10" s="5"/>
      <c r="G10" s="5"/>
      <c r="H10" s="5"/>
      <c r="I10" s="5"/>
      <c r="J10" s="5"/>
      <c r="K10" s="5"/>
      <c r="L10" s="5"/>
      <c r="M10" s="5"/>
      <c r="N10" s="5"/>
      <c r="O10" s="5"/>
      <c r="P10" s="5"/>
      <c r="Q10" s="8">
        <f>IF(COUNTA($A10:$B10,$E10,$H10,$K10,$N10,$F10,$I10,$L10,$O10)=0,"",IF($A10="","Nedostaje disciplina",IF($E10="","Nedostaje godište prvog člana",IF($C10="","Godište nije obuhvaćeno uzrasnom tabelom",IF(COUNTIF(INDIRECT("tdisc_"&amp;$C10),$A10)=0,"Disciplina nije moguća za uzrast "&amp;$C10,IF(IF($E10="",0,IF(LOOKUP($E10,INDEX(grupe,0,1),INDEX(grupe,0,2))=$C10,0,1))+IF($H10="",0,IF(LOOKUP($H10,INDEX(grupe,0,1),INDEX(grupe,0,2))=$C10,0,1))+IF($K10="",0,IF(LOOKUP($K10,INDEX(grupe,0,1),INDEX(grupe,0,2))=$C10,0,1))+IF($N10="",0,IF(LOOKUP($N10,INDEX(grupe,0,1),INDEX(grupe,0,2))=$C10,0,1))&gt;0,"Članovi ekipe nisu iz iste uzrasne grupe",IF(COUNTA($F10,$I10,$L10,$O10)&lt;&gt;COUNTA($E10,$H10,$K10,$N10),"Za svakog člana potrebni su i godište i ime",IF(IF(SUMPRODUCT(--ISERROR(FIND(MID($F10&amp;REPT("a",60),ROW($A$1:$A$60),1),"ABCDEFGHIJKLMNOPQRSTUVWXYZabcdefghijklmnopqrstuvwxyzČĆĐŠŽčćđšž -'")))=0,0,1)+IF(SUMPRODUCT(--ISERROR(FIND(MID($I10&amp;REPT("a",60),ROW($A$1:$A$60),1),"ABCDEFGHIJKLMNOPQRSTUVWXYZabcdefghijklmnopqrstuvwxyzČĆĐŠŽčćđšž -'")))=0,0,1)+IF(SUMPRODUCT(--ISERROR(FIND(MID($L10&amp;REPT("a",60),ROW($A$1:$A$60),1),"ABCDEFGHIJKLMNOPQRSTUVWXYZabcdefghijklmnopqrstuvwxyzČĆĐŠŽčćđšž -'")))=0,0,1)+IF(SUMPRODUCT(--ISERROR(FIND(MID($O10&amp;REPT("a",60),ROW($A$1:$A$60),1),"ABCDEFGHIJKLMNOPQRSTUVWXYZabcdefghijklmnopqrstuvwxyzČĆĐŠŽčćđšž -'")))=0,0,1)&gt;0,"Ime sadrži znakove koji nisu slova",IF(COUNTA($G10,$J10,$M10,$P10)&lt;&gt;COUNTA($F10,$I10,$L10,$O10),"Nedostaje pol za nekog od članova",IF(COUNTA($F10,$I10,$L10,$O10)&lt;VLOOKUP($A10,ekipe,2,FALSE),"Ekipa mora imati najmanje "&amp;VLOOKUP($A10,ekipe,2,FALSE)&amp;" člana",IF(COUNTA($F10,$I10,$L10,$O10)&gt;VLOOKUP($A10,ekipe,3,FALSE),"Ekipa može imati najviše "&amp;VLOOKUP($A10,ekipe,3,FALSE)&amp;" člana",IF($B10="","Nedostaje vrsta ekipe","prijava je kompletna")))))))))))</f>
        <v/>
      </c>
      <c r="R10">
        <f>IF($C10="","sve_ekipne","tdisc_"&amp;$C10)</f>
        <v/>
      </c>
    </row>
    <row r="11" spans="1:18">
      <c r="A11" s="5"/>
      <c r="B11" s="5"/>
      <c r="C11" s="7">
        <f>IF($E11="","",LOOKUP($E11,INDEX(grupe,0,1),INDEX(grupe,0,2)))</f>
        <v/>
      </c>
      <c r="D11" s="7">
        <f>IF($C11="","",VLOOKUP($C11,INDEX(grupe,0,2):INDEX(grupe,0,3),2,FALSE))</f>
        <v/>
      </c>
      <c r="E11" s="5"/>
      <c r="F11" s="5"/>
      <c r="G11" s="5"/>
      <c r="H11" s="5"/>
      <c r="I11" s="5"/>
      <c r="J11" s="5"/>
      <c r="K11" s="5"/>
      <c r="L11" s="5"/>
      <c r="M11" s="5"/>
      <c r="N11" s="5"/>
      <c r="O11" s="5"/>
      <c r="P11" s="5"/>
      <c r="Q11" s="8">
        <f>IF(COUNTA($A11:$B11,$E11,$H11,$K11,$N11,$F11,$I11,$L11,$O11)=0,"",IF($A11="","Nedostaje disciplina",IF($E11="","Nedostaje godište prvog člana",IF($C11="","Godište nije obuhvaćeno uzrasnom tabelom",IF(COUNTIF(INDIRECT("tdisc_"&amp;$C11),$A11)=0,"Disciplina nije moguća za uzrast "&amp;$C11,IF(IF($E11="",0,IF(LOOKUP($E11,INDEX(grupe,0,1),INDEX(grupe,0,2))=$C11,0,1))+IF($H11="",0,IF(LOOKUP($H11,INDEX(grupe,0,1),INDEX(grupe,0,2))=$C11,0,1))+IF($K11="",0,IF(LOOKUP($K11,INDEX(grupe,0,1),INDEX(grupe,0,2))=$C11,0,1))+IF($N11="",0,IF(LOOKUP($N11,INDEX(grupe,0,1),INDEX(grupe,0,2))=$C11,0,1))&gt;0,"Članovi ekipe nisu iz iste uzrasne grupe",IF(COUNTA($F11,$I11,$L11,$O11)&lt;&gt;COUNTA($E11,$H11,$K11,$N11),"Za svakog člana potrebni su i godište i ime",IF(IF(SUMPRODUCT(--ISERROR(FIND(MID($F11&amp;REPT("a",60),ROW($A$1:$A$60),1),"ABCDEFGHIJKLMNOPQRSTUVWXYZabcdefghijklmnopqrstuvwxyzČĆĐŠŽčćđšž -'")))=0,0,1)+IF(SUMPRODUCT(--ISERROR(FIND(MID($I11&amp;REPT("a",60),ROW($A$1:$A$60),1),"ABCDEFGHIJKLMNOPQRSTUVWXYZabcdefghijklmnopqrstuvwxyzČĆĐŠŽčćđšž -'")))=0,0,1)+IF(SUMPRODUCT(--ISERROR(FIND(MID($L11&amp;REPT("a",60),ROW($A$1:$A$60),1),"ABCDEFGHIJKLMNOPQRSTUVWXYZabcdefghijklmnopqrstuvwxyzČĆĐŠŽčćđšž -'")))=0,0,1)+IF(SUMPRODUCT(--ISERROR(FIND(MID($O11&amp;REPT("a",60),ROW($A$1:$A$60),1),"ABCDEFGHIJKLMNOPQRSTUVWXYZabcdefghijklmnopqrstuvwxyzČĆĐŠŽčćđšž -'")))=0,0,1)&gt;0,"Ime sadrži znakove koji nisu slova",IF(COUNTA($G11,$J11,$M11,$P11)&lt;&gt;COUNTA($F11,$I11,$L11,$O11),"Nedostaje pol za nekog od članova",IF(COUNTA($F11,$I11,$L11,$O11)&lt;VLOOKUP($A11,ekipe,2,FALSE),"Ekipa mora imati najmanje "&amp;VLOOKUP($A11,ekipe,2,FALSE)&amp;" člana",IF(COUNTA($F11,$I11,$L11,$O11)&gt;VLOOKUP($A11,ekipe,3,FALSE),"Ekipa može imati najviše "&amp;VLOOKUP($A11,ekipe,3,FALSE)&amp;" člana",IF($B11="","Nedostaje vrsta ekipe","prijava je kompletna")))))))))))</f>
        <v/>
      </c>
      <c r="R11">
        <f>IF($C11="","sve_ekipne","tdisc_"&amp;$C11)</f>
        <v/>
      </c>
    </row>
    <row r="12" spans="1:18">
      <c r="A12" s="5"/>
      <c r="B12" s="5"/>
      <c r="C12" s="7">
        <f>IF($E12="","",LOOKUP($E12,INDEX(grupe,0,1),INDEX(grupe,0,2)))</f>
        <v/>
      </c>
      <c r="D12" s="7">
        <f>IF($C12="","",VLOOKUP($C12,INDEX(grupe,0,2):INDEX(grupe,0,3),2,FALSE))</f>
        <v/>
      </c>
      <c r="E12" s="5"/>
      <c r="F12" s="5"/>
      <c r="G12" s="5"/>
      <c r="H12" s="5"/>
      <c r="I12" s="5"/>
      <c r="J12" s="5"/>
      <c r="K12" s="5"/>
      <c r="L12" s="5"/>
      <c r="M12" s="5"/>
      <c r="N12" s="5"/>
      <c r="O12" s="5"/>
      <c r="P12" s="5"/>
      <c r="Q12" s="8">
        <f>IF(COUNTA($A12:$B12,$E12,$H12,$K12,$N12,$F12,$I12,$L12,$O12)=0,"",IF($A12="","Nedostaje disciplina",IF($E12="","Nedostaje godište prvog člana",IF($C12="","Godište nije obuhvaćeno uzrasnom tabelom",IF(COUNTIF(INDIRECT("tdisc_"&amp;$C12),$A12)=0,"Disciplina nije moguća za uzrast "&amp;$C12,IF(IF($E12="",0,IF(LOOKUP($E12,INDEX(grupe,0,1),INDEX(grupe,0,2))=$C12,0,1))+IF($H12="",0,IF(LOOKUP($H12,INDEX(grupe,0,1),INDEX(grupe,0,2))=$C12,0,1))+IF($K12="",0,IF(LOOKUP($K12,INDEX(grupe,0,1),INDEX(grupe,0,2))=$C12,0,1))+IF($N12="",0,IF(LOOKUP($N12,INDEX(grupe,0,1),INDEX(grupe,0,2))=$C12,0,1))&gt;0,"Članovi ekipe nisu iz iste uzrasne grupe",IF(COUNTA($F12,$I12,$L12,$O12)&lt;&gt;COUNTA($E12,$H12,$K12,$N12),"Za svakog člana potrebni su i godište i ime",IF(IF(SUMPRODUCT(--ISERROR(FIND(MID($F12&amp;REPT("a",60),ROW($A$1:$A$60),1),"ABCDEFGHIJKLMNOPQRSTUVWXYZabcdefghijklmnopqrstuvwxyzČĆĐŠŽčćđšž -'")))=0,0,1)+IF(SUMPRODUCT(--ISERROR(FIND(MID($I12&amp;REPT("a",60),ROW($A$1:$A$60),1),"ABCDEFGHIJKLMNOPQRSTUVWXYZabcdefghijklmnopqrstuvwxyzČĆĐŠŽčćđšž -'")))=0,0,1)+IF(SUMPRODUCT(--ISERROR(FIND(MID($L12&amp;REPT("a",60),ROW($A$1:$A$60),1),"ABCDEFGHIJKLMNOPQRSTUVWXYZabcdefghijklmnopqrstuvwxyzČĆĐŠŽčćđšž -'")))=0,0,1)+IF(SUMPRODUCT(--ISERROR(FIND(MID($O12&amp;REPT("a",60),ROW($A$1:$A$60),1),"ABCDEFGHIJKLMNOPQRSTUVWXYZabcdefghijklmnopqrstuvwxyzČĆĐŠŽčćđšž -'")))=0,0,1)&gt;0,"Ime sadrži znakove koji nisu slova",IF(COUNTA($G12,$J12,$M12,$P12)&lt;&gt;COUNTA($F12,$I12,$L12,$O12),"Nedostaje pol za nekog od članova",IF(COUNTA($F12,$I12,$L12,$O12)&lt;VLOOKUP($A12,ekipe,2,FALSE),"Ekipa mora imati najmanje "&amp;VLOOKUP($A12,ekipe,2,FALSE)&amp;" člana",IF(COUNTA($F12,$I12,$L12,$O12)&gt;VLOOKUP($A12,ekipe,3,FALSE),"Ekipa može imati najviše "&amp;VLOOKUP($A12,ekipe,3,FALSE)&amp;" člana",IF($B12="","Nedostaje vrsta ekipe","prijava je kompletna")))))))))))</f>
        <v/>
      </c>
      <c r="R12">
        <f>IF($C12="","sve_ekipne","tdisc_"&amp;$C12)</f>
        <v/>
      </c>
    </row>
    <row r="13" spans="1:18">
      <c r="A13" s="5"/>
      <c r="B13" s="5"/>
      <c r="C13" s="7">
        <f>IF($E13="","",LOOKUP($E13,INDEX(grupe,0,1),INDEX(grupe,0,2)))</f>
        <v/>
      </c>
      <c r="D13" s="7">
        <f>IF($C13="","",VLOOKUP($C13,INDEX(grupe,0,2):INDEX(grupe,0,3),2,FALSE))</f>
        <v/>
      </c>
      <c r="E13" s="5"/>
      <c r="F13" s="5"/>
      <c r="G13" s="5"/>
      <c r="H13" s="5"/>
      <c r="I13" s="5"/>
      <c r="J13" s="5"/>
      <c r="K13" s="5"/>
      <c r="L13" s="5"/>
      <c r="M13" s="5"/>
      <c r="N13" s="5"/>
      <c r="O13" s="5"/>
      <c r="P13" s="5"/>
      <c r="Q13" s="8">
        <f>IF(COUNTA($A13:$B13,$E13,$H13,$K13,$N13,$F13,$I13,$L13,$O13)=0,"",IF($A13="","Nedostaje disciplina",IF($E13="","Nedostaje godište prvog člana",IF($C13="","Godište nije obuhvaćeno uzrasnom tabelom",IF(COUNTIF(INDIRECT("tdisc_"&amp;$C13),$A13)=0,"Disciplina nije moguća za uzrast "&amp;$C13,IF(IF($E13="",0,IF(LOOKUP($E13,INDEX(grupe,0,1),INDEX(grupe,0,2))=$C13,0,1))+IF($H13="",0,IF(LOOKUP($H13,INDEX(grupe,0,1),INDEX(grupe,0,2))=$C13,0,1))+IF($K13="",0,IF(LOOKUP($K13,INDEX(grupe,0,1),INDEX(grupe,0,2))=$C13,0,1))+IF($N13="",0,IF(LOOKUP($N13,INDEX(grupe,0,1),INDEX(grupe,0,2))=$C13,0,1))&gt;0,"Članovi ekipe nisu iz iste uzrasne grupe",IF(COUNTA($F13,$I13,$L13,$O13)&lt;&gt;COUNTA($E13,$H13,$K13,$N13),"Za svakog člana potrebni su i godište i ime",IF(IF(SUMPRODUCT(--ISERROR(FIND(MID($F13&amp;REPT("a",60),ROW($A$1:$A$60),1),"ABCDEFGHIJKLMNOPQRSTUVWXYZabcdefghijklmnopqrstuvwxyzČĆĐŠŽčćđšž -'")))=0,0,1)+IF(SUMPRODUCT(--ISERROR(FIND(MID($I13&amp;REPT("a",60),ROW($A$1:$A$60),1),"ABCDEFGHIJKLMNOPQRSTUVWXYZabcdefghijklmnopqrstuvwxyzČĆĐŠŽčćđšž -'")))=0,0,1)+IF(SUMPRODUCT(--ISERROR(FIND(MID($L13&amp;REPT("a",60),ROW($A$1:$A$60),1),"ABCDEFGHIJKLMNOPQRSTUVWXYZabcdefghijklmnopqrstuvwxyzČĆĐŠŽčćđšž -'")))=0,0,1)+IF(SUMPRODUCT(--ISERROR(FIND(MID($O13&amp;REPT("a",60),ROW($A$1:$A$60),1),"ABCDEFGHIJKLMNOPQRSTUVWXYZabcdefghijklmnopqrstuvwxyzČĆĐŠŽčćđšž -'")))=0,0,1)&gt;0,"Ime sadrži znakove koji nisu slova",IF(COUNTA($G13,$J13,$M13,$P13)&lt;&gt;COUNTA($F13,$I13,$L13,$O13),"Nedostaje pol za nekog od članova",IF(COUNTA($F13,$I13,$L13,$O13)&lt;VLOOKUP($A13,ekipe,2,FALSE),"Ekipa mora imati najmanje "&amp;VLOOKUP($A13,ekipe,2,FALSE)&amp;" člana",IF(COUNTA($F13,$I13,$L13,$O13)&gt;VLOOKUP($A13,ekipe,3,FALSE),"Ekipa može imati najviše "&amp;VLOOKUP($A13,ekipe,3,FALSE)&amp;" člana",IF($B13="","Nedostaje vrsta ekipe","prijava je kompletna")))))))))))</f>
        <v/>
      </c>
      <c r="R13">
        <f>IF($C13="","sve_ekipne","tdisc_"&amp;$C13)</f>
        <v/>
      </c>
    </row>
    <row r="14" spans="1:18">
      <c r="A14" s="5"/>
      <c r="B14" s="5"/>
      <c r="C14" s="7">
        <f>IF($E14="","",LOOKUP($E14,INDEX(grupe,0,1),INDEX(grupe,0,2)))</f>
        <v/>
      </c>
      <c r="D14" s="7">
        <f>IF($C14="","",VLOOKUP($C14,INDEX(grupe,0,2):INDEX(grupe,0,3),2,FALSE))</f>
        <v/>
      </c>
      <c r="E14" s="5"/>
      <c r="F14" s="5"/>
      <c r="G14" s="5"/>
      <c r="H14" s="5"/>
      <c r="I14" s="5"/>
      <c r="J14" s="5"/>
      <c r="K14" s="5"/>
      <c r="L14" s="5"/>
      <c r="M14" s="5"/>
      <c r="N14" s="5"/>
      <c r="O14" s="5"/>
      <c r="P14" s="5"/>
      <c r="Q14" s="8">
        <f>IF(COUNTA($A14:$B14,$E14,$H14,$K14,$N14,$F14,$I14,$L14,$O14)=0,"",IF($A14="","Nedostaje disciplina",IF($E14="","Nedostaje godište prvog člana",IF($C14="","Godište nije obuhvaćeno uzrasnom tabelom",IF(COUNTIF(INDIRECT("tdisc_"&amp;$C14),$A14)=0,"Disciplina nije moguća za uzrast "&amp;$C14,IF(IF($E14="",0,IF(LOOKUP($E14,INDEX(grupe,0,1),INDEX(grupe,0,2))=$C14,0,1))+IF($H14="",0,IF(LOOKUP($H14,INDEX(grupe,0,1),INDEX(grupe,0,2))=$C14,0,1))+IF($K14="",0,IF(LOOKUP($K14,INDEX(grupe,0,1),INDEX(grupe,0,2))=$C14,0,1))+IF($N14="",0,IF(LOOKUP($N14,INDEX(grupe,0,1),INDEX(grupe,0,2))=$C14,0,1))&gt;0,"Članovi ekipe nisu iz iste uzrasne grupe",IF(COUNTA($F14,$I14,$L14,$O14)&lt;&gt;COUNTA($E14,$H14,$K14,$N14),"Za svakog člana potrebni su i godište i ime",IF(IF(SUMPRODUCT(--ISERROR(FIND(MID($F14&amp;REPT("a",60),ROW($A$1:$A$60),1),"ABCDEFGHIJKLMNOPQRSTUVWXYZabcdefghijklmnopqrstuvwxyzČĆĐŠŽčćđšž -'")))=0,0,1)+IF(SUMPRODUCT(--ISERROR(FIND(MID($I14&amp;REPT("a",60),ROW($A$1:$A$60),1),"ABCDEFGHIJKLMNOPQRSTUVWXYZabcdefghijklmnopqrstuvwxyzČĆĐŠŽčćđšž -'")))=0,0,1)+IF(SUMPRODUCT(--ISERROR(FIND(MID($L14&amp;REPT("a",60),ROW($A$1:$A$60),1),"ABCDEFGHIJKLMNOPQRSTUVWXYZabcdefghijklmnopqrstuvwxyzČĆĐŠŽčćđšž -'")))=0,0,1)+IF(SUMPRODUCT(--ISERROR(FIND(MID($O14&amp;REPT("a",60),ROW($A$1:$A$60),1),"ABCDEFGHIJKLMNOPQRSTUVWXYZabcdefghijklmnopqrstuvwxyzČĆĐŠŽčćđšž -'")))=0,0,1)&gt;0,"Ime sadrži znakove koji nisu slova",IF(COUNTA($G14,$J14,$M14,$P14)&lt;&gt;COUNTA($F14,$I14,$L14,$O14),"Nedostaje pol za nekog od članova",IF(COUNTA($F14,$I14,$L14,$O14)&lt;VLOOKUP($A14,ekipe,2,FALSE),"Ekipa mora imati najmanje "&amp;VLOOKUP($A14,ekipe,2,FALSE)&amp;" člana",IF(COUNTA($F14,$I14,$L14,$O14)&gt;VLOOKUP($A14,ekipe,3,FALSE),"Ekipa može imati najviše "&amp;VLOOKUP($A14,ekipe,3,FALSE)&amp;" člana",IF($B14="","Nedostaje vrsta ekipe","prijava je kompletna")))))))))))</f>
        <v/>
      </c>
      <c r="R14">
        <f>IF($C14="","sve_ekipne","tdisc_"&amp;$C14)</f>
        <v/>
      </c>
    </row>
    <row r="15" spans="1:18">
      <c r="A15" s="5"/>
      <c r="B15" s="5"/>
      <c r="C15" s="7">
        <f>IF($E15="","",LOOKUP($E15,INDEX(grupe,0,1),INDEX(grupe,0,2)))</f>
        <v/>
      </c>
      <c r="D15" s="7">
        <f>IF($C15="","",VLOOKUP($C15,INDEX(grupe,0,2):INDEX(grupe,0,3),2,FALSE))</f>
        <v/>
      </c>
      <c r="E15" s="5"/>
      <c r="F15" s="5"/>
      <c r="G15" s="5"/>
      <c r="H15" s="5"/>
      <c r="I15" s="5"/>
      <c r="J15" s="5"/>
      <c r="K15" s="5"/>
      <c r="L15" s="5"/>
      <c r="M15" s="5"/>
      <c r="N15" s="5"/>
      <c r="O15" s="5"/>
      <c r="P15" s="5"/>
      <c r="Q15" s="8">
        <f>IF(COUNTA($A15:$B15,$E15,$H15,$K15,$N15,$F15,$I15,$L15,$O15)=0,"",IF($A15="","Nedostaje disciplina",IF($E15="","Nedostaje godište prvog člana",IF($C15="","Godište nije obuhvaćeno uzrasnom tabelom",IF(COUNTIF(INDIRECT("tdisc_"&amp;$C15),$A15)=0,"Disciplina nije moguća za uzrast "&amp;$C15,IF(IF($E15="",0,IF(LOOKUP($E15,INDEX(grupe,0,1),INDEX(grupe,0,2))=$C15,0,1))+IF($H15="",0,IF(LOOKUP($H15,INDEX(grupe,0,1),INDEX(grupe,0,2))=$C15,0,1))+IF($K15="",0,IF(LOOKUP($K15,INDEX(grupe,0,1),INDEX(grupe,0,2))=$C15,0,1))+IF($N15="",0,IF(LOOKUP($N15,INDEX(grupe,0,1),INDEX(grupe,0,2))=$C15,0,1))&gt;0,"Članovi ekipe nisu iz iste uzrasne grupe",IF(COUNTA($F15,$I15,$L15,$O15)&lt;&gt;COUNTA($E15,$H15,$K15,$N15),"Za svakog člana potrebni su i godište i ime",IF(IF(SUMPRODUCT(--ISERROR(FIND(MID($F15&amp;REPT("a",60),ROW($A$1:$A$60),1),"ABCDEFGHIJKLMNOPQRSTUVWXYZabcdefghijklmnopqrstuvwxyzČĆĐŠŽčćđšž -'")))=0,0,1)+IF(SUMPRODUCT(--ISERROR(FIND(MID($I15&amp;REPT("a",60),ROW($A$1:$A$60),1),"ABCDEFGHIJKLMNOPQRSTUVWXYZabcdefghijklmnopqrstuvwxyzČĆĐŠŽčćđšž -'")))=0,0,1)+IF(SUMPRODUCT(--ISERROR(FIND(MID($L15&amp;REPT("a",60),ROW($A$1:$A$60),1),"ABCDEFGHIJKLMNOPQRSTUVWXYZabcdefghijklmnopqrstuvwxyzČĆĐŠŽčćđšž -'")))=0,0,1)+IF(SUMPRODUCT(--ISERROR(FIND(MID($O15&amp;REPT("a",60),ROW($A$1:$A$60),1),"ABCDEFGHIJKLMNOPQRSTUVWXYZabcdefghijklmnopqrstuvwxyzČĆĐŠŽčćđšž -'")))=0,0,1)&gt;0,"Ime sadrži znakove koji nisu slova",IF(COUNTA($G15,$J15,$M15,$P15)&lt;&gt;COUNTA($F15,$I15,$L15,$O15),"Nedostaje pol za nekog od članova",IF(COUNTA($F15,$I15,$L15,$O15)&lt;VLOOKUP($A15,ekipe,2,FALSE),"Ekipa mora imati najmanje "&amp;VLOOKUP($A15,ekipe,2,FALSE)&amp;" člana",IF(COUNTA($F15,$I15,$L15,$O15)&gt;VLOOKUP($A15,ekipe,3,FALSE),"Ekipa može imati najviše "&amp;VLOOKUP($A15,ekipe,3,FALSE)&amp;" člana",IF($B15="","Nedostaje vrsta ekipe","prijava je kompletna")))))))))))</f>
        <v/>
      </c>
      <c r="R15">
        <f>IF($C15="","sve_ekipne","tdisc_"&amp;$C15)</f>
        <v/>
      </c>
    </row>
    <row r="16" spans="1:18">
      <c r="A16" s="5"/>
      <c r="B16" s="5"/>
      <c r="C16" s="7">
        <f>IF($E16="","",LOOKUP($E16,INDEX(grupe,0,1),INDEX(grupe,0,2)))</f>
        <v/>
      </c>
      <c r="D16" s="7">
        <f>IF($C16="","",VLOOKUP($C16,INDEX(grupe,0,2):INDEX(grupe,0,3),2,FALSE))</f>
        <v/>
      </c>
      <c r="E16" s="5"/>
      <c r="F16" s="5"/>
      <c r="G16" s="5"/>
      <c r="H16" s="5"/>
      <c r="I16" s="5"/>
      <c r="J16" s="5"/>
      <c r="K16" s="5"/>
      <c r="L16" s="5"/>
      <c r="M16" s="5"/>
      <c r="N16" s="5"/>
      <c r="O16" s="5"/>
      <c r="P16" s="5"/>
      <c r="Q16" s="8">
        <f>IF(COUNTA($A16:$B16,$E16,$H16,$K16,$N16,$F16,$I16,$L16,$O16)=0,"",IF($A16="","Nedostaje disciplina",IF($E16="","Nedostaje godište prvog člana",IF($C16="","Godište nije obuhvaćeno uzrasnom tabelom",IF(COUNTIF(INDIRECT("tdisc_"&amp;$C16),$A16)=0,"Disciplina nije moguća za uzrast "&amp;$C16,IF(IF($E16="",0,IF(LOOKUP($E16,INDEX(grupe,0,1),INDEX(grupe,0,2))=$C16,0,1))+IF($H16="",0,IF(LOOKUP($H16,INDEX(grupe,0,1),INDEX(grupe,0,2))=$C16,0,1))+IF($K16="",0,IF(LOOKUP($K16,INDEX(grupe,0,1),INDEX(grupe,0,2))=$C16,0,1))+IF($N16="",0,IF(LOOKUP($N16,INDEX(grupe,0,1),INDEX(grupe,0,2))=$C16,0,1))&gt;0,"Članovi ekipe nisu iz iste uzrasne grupe",IF(COUNTA($F16,$I16,$L16,$O16)&lt;&gt;COUNTA($E16,$H16,$K16,$N16),"Za svakog člana potrebni su i godište i ime",IF(IF(SUMPRODUCT(--ISERROR(FIND(MID($F16&amp;REPT("a",60),ROW($A$1:$A$60),1),"ABCDEFGHIJKLMNOPQRSTUVWXYZabcdefghijklmnopqrstuvwxyzČĆĐŠŽčćđšž -'")))=0,0,1)+IF(SUMPRODUCT(--ISERROR(FIND(MID($I16&amp;REPT("a",60),ROW($A$1:$A$60),1),"ABCDEFGHIJKLMNOPQRSTUVWXYZabcdefghijklmnopqrstuvwxyzČĆĐŠŽčćđšž -'")))=0,0,1)+IF(SUMPRODUCT(--ISERROR(FIND(MID($L16&amp;REPT("a",60),ROW($A$1:$A$60),1),"ABCDEFGHIJKLMNOPQRSTUVWXYZabcdefghijklmnopqrstuvwxyzČĆĐŠŽčćđšž -'")))=0,0,1)+IF(SUMPRODUCT(--ISERROR(FIND(MID($O16&amp;REPT("a",60),ROW($A$1:$A$60),1),"ABCDEFGHIJKLMNOPQRSTUVWXYZabcdefghijklmnopqrstuvwxyzČĆĐŠŽčćđšž -'")))=0,0,1)&gt;0,"Ime sadrži znakove koji nisu slova",IF(COUNTA($G16,$J16,$M16,$P16)&lt;&gt;COUNTA($F16,$I16,$L16,$O16),"Nedostaje pol za nekog od članova",IF(COUNTA($F16,$I16,$L16,$O16)&lt;VLOOKUP($A16,ekipe,2,FALSE),"Ekipa mora imati najmanje "&amp;VLOOKUP($A16,ekipe,2,FALSE)&amp;" člana",IF(COUNTA($F16,$I16,$L16,$O16)&gt;VLOOKUP($A16,ekipe,3,FALSE),"Ekipa može imati najviše "&amp;VLOOKUP($A16,ekipe,3,FALSE)&amp;" člana",IF($B16="","Nedostaje vrsta ekipe","prijava je kompletna")))))))))))</f>
        <v/>
      </c>
      <c r="R16">
        <f>IF($C16="","sve_ekipne","tdisc_"&amp;$C16)</f>
        <v/>
      </c>
    </row>
    <row r="17" spans="1:18">
      <c r="A17" s="5"/>
      <c r="B17" s="5"/>
      <c r="C17" s="7">
        <f>IF($E17="","",LOOKUP($E17,INDEX(grupe,0,1),INDEX(grupe,0,2)))</f>
        <v/>
      </c>
      <c r="D17" s="7">
        <f>IF($C17="","",VLOOKUP($C17,INDEX(grupe,0,2):INDEX(grupe,0,3),2,FALSE))</f>
        <v/>
      </c>
      <c r="E17" s="5"/>
      <c r="F17" s="5"/>
      <c r="G17" s="5"/>
      <c r="H17" s="5"/>
      <c r="I17" s="5"/>
      <c r="J17" s="5"/>
      <c r="K17" s="5"/>
      <c r="L17" s="5"/>
      <c r="M17" s="5"/>
      <c r="N17" s="5"/>
      <c r="O17" s="5"/>
      <c r="P17" s="5"/>
      <c r="Q17" s="8">
        <f>IF(COUNTA($A17:$B17,$E17,$H17,$K17,$N17,$F17,$I17,$L17,$O17)=0,"",IF($A17="","Nedostaje disciplina",IF($E17="","Nedostaje godište prvog člana",IF($C17="","Godište nije obuhvaćeno uzrasnom tabelom",IF(COUNTIF(INDIRECT("tdisc_"&amp;$C17),$A17)=0,"Disciplina nije moguća za uzrast "&amp;$C17,IF(IF($E17="",0,IF(LOOKUP($E17,INDEX(grupe,0,1),INDEX(grupe,0,2))=$C17,0,1))+IF($H17="",0,IF(LOOKUP($H17,INDEX(grupe,0,1),INDEX(grupe,0,2))=$C17,0,1))+IF($K17="",0,IF(LOOKUP($K17,INDEX(grupe,0,1),INDEX(grupe,0,2))=$C17,0,1))+IF($N17="",0,IF(LOOKUP($N17,INDEX(grupe,0,1),INDEX(grupe,0,2))=$C17,0,1))&gt;0,"Članovi ekipe nisu iz iste uzrasne grupe",IF(COUNTA($F17,$I17,$L17,$O17)&lt;&gt;COUNTA($E17,$H17,$K17,$N17),"Za svakog člana potrebni su i godište i ime",IF(IF(SUMPRODUCT(--ISERROR(FIND(MID($F17&amp;REPT("a",60),ROW($A$1:$A$60),1),"ABCDEFGHIJKLMNOPQRSTUVWXYZabcdefghijklmnopqrstuvwxyzČĆĐŠŽčćđšž -'")))=0,0,1)+IF(SUMPRODUCT(--ISERROR(FIND(MID($I17&amp;REPT("a",60),ROW($A$1:$A$60),1),"ABCDEFGHIJKLMNOPQRSTUVWXYZabcdefghijklmnopqrstuvwxyzČĆĐŠŽčćđšž -'")))=0,0,1)+IF(SUMPRODUCT(--ISERROR(FIND(MID($L17&amp;REPT("a",60),ROW($A$1:$A$60),1),"ABCDEFGHIJKLMNOPQRSTUVWXYZabcdefghijklmnopqrstuvwxyzČĆĐŠŽčćđšž -'")))=0,0,1)+IF(SUMPRODUCT(--ISERROR(FIND(MID($O17&amp;REPT("a",60),ROW($A$1:$A$60),1),"ABCDEFGHIJKLMNOPQRSTUVWXYZabcdefghijklmnopqrstuvwxyzČĆĐŠŽčćđšž -'")))=0,0,1)&gt;0,"Ime sadrži znakove koji nisu slova",IF(COUNTA($G17,$J17,$M17,$P17)&lt;&gt;COUNTA($F17,$I17,$L17,$O17),"Nedostaje pol za nekog od članova",IF(COUNTA($F17,$I17,$L17,$O17)&lt;VLOOKUP($A17,ekipe,2,FALSE),"Ekipa mora imati najmanje "&amp;VLOOKUP($A17,ekipe,2,FALSE)&amp;" člana",IF(COUNTA($F17,$I17,$L17,$O17)&gt;VLOOKUP($A17,ekipe,3,FALSE),"Ekipa može imati najviše "&amp;VLOOKUP($A17,ekipe,3,FALSE)&amp;" člana",IF($B17="","Nedostaje vrsta ekipe","prijava je kompletna")))))))))))</f>
        <v/>
      </c>
      <c r="R17">
        <f>IF($C17="","sve_ekipne","tdisc_"&amp;$C17)</f>
        <v/>
      </c>
    </row>
    <row r="18" spans="1:18">
      <c r="A18" s="5"/>
      <c r="B18" s="5"/>
      <c r="C18" s="7">
        <f>IF($E18="","",LOOKUP($E18,INDEX(grupe,0,1),INDEX(grupe,0,2)))</f>
        <v/>
      </c>
      <c r="D18" s="7">
        <f>IF($C18="","",VLOOKUP($C18,INDEX(grupe,0,2):INDEX(grupe,0,3),2,FALSE))</f>
        <v/>
      </c>
      <c r="E18" s="5"/>
      <c r="F18" s="5"/>
      <c r="G18" s="5"/>
      <c r="H18" s="5"/>
      <c r="I18" s="5"/>
      <c r="J18" s="5"/>
      <c r="K18" s="5"/>
      <c r="L18" s="5"/>
      <c r="M18" s="5"/>
      <c r="N18" s="5"/>
      <c r="O18" s="5"/>
      <c r="P18" s="5"/>
      <c r="Q18" s="8">
        <f>IF(COUNTA($A18:$B18,$E18,$H18,$K18,$N18,$F18,$I18,$L18,$O18)=0,"",IF($A18="","Nedostaje disciplina",IF($E18="","Nedostaje godište prvog člana",IF($C18="","Godište nije obuhvaćeno uzrasnom tabelom",IF(COUNTIF(INDIRECT("tdisc_"&amp;$C18),$A18)=0,"Disciplina nije moguća za uzrast "&amp;$C18,IF(IF($E18="",0,IF(LOOKUP($E18,INDEX(grupe,0,1),INDEX(grupe,0,2))=$C18,0,1))+IF($H18="",0,IF(LOOKUP($H18,INDEX(grupe,0,1),INDEX(grupe,0,2))=$C18,0,1))+IF($K18="",0,IF(LOOKUP($K18,INDEX(grupe,0,1),INDEX(grupe,0,2))=$C18,0,1))+IF($N18="",0,IF(LOOKUP($N18,INDEX(grupe,0,1),INDEX(grupe,0,2))=$C18,0,1))&gt;0,"Članovi ekipe nisu iz iste uzrasne grupe",IF(COUNTA($F18,$I18,$L18,$O18)&lt;&gt;COUNTA($E18,$H18,$K18,$N18),"Za svakog člana potrebni su i godište i ime",IF(IF(SUMPRODUCT(--ISERROR(FIND(MID($F18&amp;REPT("a",60),ROW($A$1:$A$60),1),"ABCDEFGHIJKLMNOPQRSTUVWXYZabcdefghijklmnopqrstuvwxyzČĆĐŠŽčćđšž -'")))=0,0,1)+IF(SUMPRODUCT(--ISERROR(FIND(MID($I18&amp;REPT("a",60),ROW($A$1:$A$60),1),"ABCDEFGHIJKLMNOPQRSTUVWXYZabcdefghijklmnopqrstuvwxyzČĆĐŠŽčćđšž -'")))=0,0,1)+IF(SUMPRODUCT(--ISERROR(FIND(MID($L18&amp;REPT("a",60),ROW($A$1:$A$60),1),"ABCDEFGHIJKLMNOPQRSTUVWXYZabcdefghijklmnopqrstuvwxyzČĆĐŠŽčćđšž -'")))=0,0,1)+IF(SUMPRODUCT(--ISERROR(FIND(MID($O18&amp;REPT("a",60),ROW($A$1:$A$60),1),"ABCDEFGHIJKLMNOPQRSTUVWXYZabcdefghijklmnopqrstuvwxyzČĆĐŠŽčćđšž -'")))=0,0,1)&gt;0,"Ime sadrži znakove koji nisu slova",IF(COUNTA($G18,$J18,$M18,$P18)&lt;&gt;COUNTA($F18,$I18,$L18,$O18),"Nedostaje pol za nekog od članova",IF(COUNTA($F18,$I18,$L18,$O18)&lt;VLOOKUP($A18,ekipe,2,FALSE),"Ekipa mora imati najmanje "&amp;VLOOKUP($A18,ekipe,2,FALSE)&amp;" člana",IF(COUNTA($F18,$I18,$L18,$O18)&gt;VLOOKUP($A18,ekipe,3,FALSE),"Ekipa može imati najviše "&amp;VLOOKUP($A18,ekipe,3,FALSE)&amp;" člana",IF($B18="","Nedostaje vrsta ekipe","prijava je kompletna")))))))))))</f>
        <v/>
      </c>
      <c r="R18">
        <f>IF($C18="","sve_ekipne","tdisc_"&amp;$C18)</f>
        <v/>
      </c>
    </row>
    <row r="19" spans="1:18">
      <c r="A19" s="5"/>
      <c r="B19" s="5"/>
      <c r="C19" s="7">
        <f>IF($E19="","",LOOKUP($E19,INDEX(grupe,0,1),INDEX(grupe,0,2)))</f>
        <v/>
      </c>
      <c r="D19" s="7">
        <f>IF($C19="","",VLOOKUP($C19,INDEX(grupe,0,2):INDEX(grupe,0,3),2,FALSE))</f>
        <v/>
      </c>
      <c r="E19" s="5"/>
      <c r="F19" s="5"/>
      <c r="G19" s="5"/>
      <c r="H19" s="5"/>
      <c r="I19" s="5"/>
      <c r="J19" s="5"/>
      <c r="K19" s="5"/>
      <c r="L19" s="5"/>
      <c r="M19" s="5"/>
      <c r="N19" s="5"/>
      <c r="O19" s="5"/>
      <c r="P19" s="5"/>
      <c r="Q19" s="8">
        <f>IF(COUNTA($A19:$B19,$E19,$H19,$K19,$N19,$F19,$I19,$L19,$O19)=0,"",IF($A19="","Nedostaje disciplina",IF($E19="","Nedostaje godište prvog člana",IF($C19="","Godište nije obuhvaćeno uzrasnom tabelom",IF(COUNTIF(INDIRECT("tdisc_"&amp;$C19),$A19)=0,"Disciplina nije moguća za uzrast "&amp;$C19,IF(IF($E19="",0,IF(LOOKUP($E19,INDEX(grupe,0,1),INDEX(grupe,0,2))=$C19,0,1))+IF($H19="",0,IF(LOOKUP($H19,INDEX(grupe,0,1),INDEX(grupe,0,2))=$C19,0,1))+IF($K19="",0,IF(LOOKUP($K19,INDEX(grupe,0,1),INDEX(grupe,0,2))=$C19,0,1))+IF($N19="",0,IF(LOOKUP($N19,INDEX(grupe,0,1),INDEX(grupe,0,2))=$C19,0,1))&gt;0,"Članovi ekipe nisu iz iste uzrasne grupe",IF(COUNTA($F19,$I19,$L19,$O19)&lt;&gt;COUNTA($E19,$H19,$K19,$N19),"Za svakog člana potrebni su i godište i ime",IF(IF(SUMPRODUCT(--ISERROR(FIND(MID($F19&amp;REPT("a",60),ROW($A$1:$A$60),1),"ABCDEFGHIJKLMNOPQRSTUVWXYZabcdefghijklmnopqrstuvwxyzČĆĐŠŽčćđšž -'")))=0,0,1)+IF(SUMPRODUCT(--ISERROR(FIND(MID($I19&amp;REPT("a",60),ROW($A$1:$A$60),1),"ABCDEFGHIJKLMNOPQRSTUVWXYZabcdefghijklmnopqrstuvwxyzČĆĐŠŽčćđšž -'")))=0,0,1)+IF(SUMPRODUCT(--ISERROR(FIND(MID($L19&amp;REPT("a",60),ROW($A$1:$A$60),1),"ABCDEFGHIJKLMNOPQRSTUVWXYZabcdefghijklmnopqrstuvwxyzČĆĐŠŽčćđšž -'")))=0,0,1)+IF(SUMPRODUCT(--ISERROR(FIND(MID($O19&amp;REPT("a",60),ROW($A$1:$A$60),1),"ABCDEFGHIJKLMNOPQRSTUVWXYZabcdefghijklmnopqrstuvwxyzČĆĐŠŽčćđšž -'")))=0,0,1)&gt;0,"Ime sadrži znakove koji nisu slova",IF(COUNTA($G19,$J19,$M19,$P19)&lt;&gt;COUNTA($F19,$I19,$L19,$O19),"Nedostaje pol za nekog od članova",IF(COUNTA($F19,$I19,$L19,$O19)&lt;VLOOKUP($A19,ekipe,2,FALSE),"Ekipa mora imati najmanje "&amp;VLOOKUP($A19,ekipe,2,FALSE)&amp;" člana",IF(COUNTA($F19,$I19,$L19,$O19)&gt;VLOOKUP($A19,ekipe,3,FALSE),"Ekipa može imati najviše "&amp;VLOOKUP($A19,ekipe,3,FALSE)&amp;" člana",IF($B19="","Nedostaje vrsta ekipe","prijava je kompletna")))))))))))</f>
        <v/>
      </c>
      <c r="R19">
        <f>IF($C19="","sve_ekipne","tdisc_"&amp;$C19)</f>
        <v/>
      </c>
    </row>
    <row r="20" spans="1:18">
      <c r="A20" s="5"/>
      <c r="B20" s="5"/>
      <c r="C20" s="7">
        <f>IF($E20="","",LOOKUP($E20,INDEX(grupe,0,1),INDEX(grupe,0,2)))</f>
        <v/>
      </c>
      <c r="D20" s="7">
        <f>IF($C20="","",VLOOKUP($C20,INDEX(grupe,0,2):INDEX(grupe,0,3),2,FALSE))</f>
        <v/>
      </c>
      <c r="E20" s="5"/>
      <c r="F20" s="5"/>
      <c r="G20" s="5"/>
      <c r="H20" s="5"/>
      <c r="I20" s="5"/>
      <c r="J20" s="5"/>
      <c r="K20" s="5"/>
      <c r="L20" s="5"/>
      <c r="M20" s="5"/>
      <c r="N20" s="5"/>
      <c r="O20" s="5"/>
      <c r="P20" s="5"/>
      <c r="Q20" s="8">
        <f>IF(COUNTA($A20:$B20,$E20,$H20,$K20,$N20,$F20,$I20,$L20,$O20)=0,"",IF($A20="","Nedostaje disciplina",IF($E20="","Nedostaje godište prvog člana",IF($C20="","Godište nije obuhvaćeno uzrasnom tabelom",IF(COUNTIF(INDIRECT("tdisc_"&amp;$C20),$A20)=0,"Disciplina nije moguća za uzrast "&amp;$C20,IF(IF($E20="",0,IF(LOOKUP($E20,INDEX(grupe,0,1),INDEX(grupe,0,2))=$C20,0,1))+IF($H20="",0,IF(LOOKUP($H20,INDEX(grupe,0,1),INDEX(grupe,0,2))=$C20,0,1))+IF($K20="",0,IF(LOOKUP($K20,INDEX(grupe,0,1),INDEX(grupe,0,2))=$C20,0,1))+IF($N20="",0,IF(LOOKUP($N20,INDEX(grupe,0,1),INDEX(grupe,0,2))=$C20,0,1))&gt;0,"Članovi ekipe nisu iz iste uzrasne grupe",IF(COUNTA($F20,$I20,$L20,$O20)&lt;&gt;COUNTA($E20,$H20,$K20,$N20),"Za svakog člana potrebni su i godište i ime",IF(IF(SUMPRODUCT(--ISERROR(FIND(MID($F20&amp;REPT("a",60),ROW($A$1:$A$60),1),"ABCDEFGHIJKLMNOPQRSTUVWXYZabcdefghijklmnopqrstuvwxyzČĆĐŠŽčćđšž -'")))=0,0,1)+IF(SUMPRODUCT(--ISERROR(FIND(MID($I20&amp;REPT("a",60),ROW($A$1:$A$60),1),"ABCDEFGHIJKLMNOPQRSTUVWXYZabcdefghijklmnopqrstuvwxyzČĆĐŠŽčćđšž -'")))=0,0,1)+IF(SUMPRODUCT(--ISERROR(FIND(MID($L20&amp;REPT("a",60),ROW($A$1:$A$60),1),"ABCDEFGHIJKLMNOPQRSTUVWXYZabcdefghijklmnopqrstuvwxyzČĆĐŠŽčćđšž -'")))=0,0,1)+IF(SUMPRODUCT(--ISERROR(FIND(MID($O20&amp;REPT("a",60),ROW($A$1:$A$60),1),"ABCDEFGHIJKLMNOPQRSTUVWXYZabcdefghijklmnopqrstuvwxyzČĆĐŠŽčćđšž -'")))=0,0,1)&gt;0,"Ime sadrži znakove koji nisu slova",IF(COUNTA($G20,$J20,$M20,$P20)&lt;&gt;COUNTA($F20,$I20,$L20,$O20),"Nedostaje pol za nekog od članova",IF(COUNTA($F20,$I20,$L20,$O20)&lt;VLOOKUP($A20,ekipe,2,FALSE),"Ekipa mora imati najmanje "&amp;VLOOKUP($A20,ekipe,2,FALSE)&amp;" člana",IF(COUNTA($F20,$I20,$L20,$O20)&gt;VLOOKUP($A20,ekipe,3,FALSE),"Ekipa može imati najviše "&amp;VLOOKUP($A20,ekipe,3,FALSE)&amp;" člana",IF($B20="","Nedostaje vrsta ekipe","prijava je kompletna")))))))))))</f>
        <v/>
      </c>
      <c r="R20">
        <f>IF($C20="","sve_ekipne","tdisc_"&amp;$C20)</f>
        <v/>
      </c>
    </row>
    <row r="21" spans="1:18">
      <c r="A21" s="5"/>
      <c r="B21" s="5"/>
      <c r="C21" s="7">
        <f>IF($E21="","",LOOKUP($E21,INDEX(grupe,0,1),INDEX(grupe,0,2)))</f>
        <v/>
      </c>
      <c r="D21" s="7">
        <f>IF($C21="","",VLOOKUP($C21,INDEX(grupe,0,2):INDEX(grupe,0,3),2,FALSE))</f>
        <v/>
      </c>
      <c r="E21" s="5"/>
      <c r="F21" s="5"/>
      <c r="G21" s="5"/>
      <c r="H21" s="5"/>
      <c r="I21" s="5"/>
      <c r="J21" s="5"/>
      <c r="K21" s="5"/>
      <c r="L21" s="5"/>
      <c r="M21" s="5"/>
      <c r="N21" s="5"/>
      <c r="O21" s="5"/>
      <c r="P21" s="5"/>
      <c r="Q21" s="8">
        <f>IF(COUNTA($A21:$B21,$E21,$H21,$K21,$N21,$F21,$I21,$L21,$O21)=0,"",IF($A21="","Nedostaje disciplina",IF($E21="","Nedostaje godište prvog člana",IF($C21="","Godište nije obuhvaćeno uzrasnom tabelom",IF(COUNTIF(INDIRECT("tdisc_"&amp;$C21),$A21)=0,"Disciplina nije moguća za uzrast "&amp;$C21,IF(IF($E21="",0,IF(LOOKUP($E21,INDEX(grupe,0,1),INDEX(grupe,0,2))=$C21,0,1))+IF($H21="",0,IF(LOOKUP($H21,INDEX(grupe,0,1),INDEX(grupe,0,2))=$C21,0,1))+IF($K21="",0,IF(LOOKUP($K21,INDEX(grupe,0,1),INDEX(grupe,0,2))=$C21,0,1))+IF($N21="",0,IF(LOOKUP($N21,INDEX(grupe,0,1),INDEX(grupe,0,2))=$C21,0,1))&gt;0,"Članovi ekipe nisu iz iste uzrasne grupe",IF(COUNTA($F21,$I21,$L21,$O21)&lt;&gt;COUNTA($E21,$H21,$K21,$N21),"Za svakog člana potrebni su i godište i ime",IF(IF(SUMPRODUCT(--ISERROR(FIND(MID($F21&amp;REPT("a",60),ROW($A$1:$A$60),1),"ABCDEFGHIJKLMNOPQRSTUVWXYZabcdefghijklmnopqrstuvwxyzČĆĐŠŽčćđšž -'")))=0,0,1)+IF(SUMPRODUCT(--ISERROR(FIND(MID($I21&amp;REPT("a",60),ROW($A$1:$A$60),1),"ABCDEFGHIJKLMNOPQRSTUVWXYZabcdefghijklmnopqrstuvwxyzČĆĐŠŽčćđšž -'")))=0,0,1)+IF(SUMPRODUCT(--ISERROR(FIND(MID($L21&amp;REPT("a",60),ROW($A$1:$A$60),1),"ABCDEFGHIJKLMNOPQRSTUVWXYZabcdefghijklmnopqrstuvwxyzČĆĐŠŽčćđšž -'")))=0,0,1)+IF(SUMPRODUCT(--ISERROR(FIND(MID($O21&amp;REPT("a",60),ROW($A$1:$A$60),1),"ABCDEFGHIJKLMNOPQRSTUVWXYZabcdefghijklmnopqrstuvwxyzČĆĐŠŽčćđšž -'")))=0,0,1)&gt;0,"Ime sadrži znakove koji nisu slova",IF(COUNTA($G21,$J21,$M21,$P21)&lt;&gt;COUNTA($F21,$I21,$L21,$O21),"Nedostaje pol za nekog od članova",IF(COUNTA($F21,$I21,$L21,$O21)&lt;VLOOKUP($A21,ekipe,2,FALSE),"Ekipa mora imati najmanje "&amp;VLOOKUP($A21,ekipe,2,FALSE)&amp;" člana",IF(COUNTA($F21,$I21,$L21,$O21)&gt;VLOOKUP($A21,ekipe,3,FALSE),"Ekipa može imati najviše "&amp;VLOOKUP($A21,ekipe,3,FALSE)&amp;" člana",IF($B21="","Nedostaje vrsta ekipe","prijava je kompletna")))))))))))</f>
        <v/>
      </c>
      <c r="R21">
        <f>IF($C21="","sve_ekipne","tdisc_"&amp;$C21)</f>
        <v/>
      </c>
    </row>
    <row r="22" spans="1:18">
      <c r="A22" s="5"/>
      <c r="B22" s="5"/>
      <c r="C22" s="7">
        <f>IF($E22="","",LOOKUP($E22,INDEX(grupe,0,1),INDEX(grupe,0,2)))</f>
        <v/>
      </c>
      <c r="D22" s="7">
        <f>IF($C22="","",VLOOKUP($C22,INDEX(grupe,0,2):INDEX(grupe,0,3),2,FALSE))</f>
        <v/>
      </c>
      <c r="E22" s="5"/>
      <c r="F22" s="5"/>
      <c r="G22" s="5"/>
      <c r="H22" s="5"/>
      <c r="I22" s="5"/>
      <c r="J22" s="5"/>
      <c r="K22" s="5"/>
      <c r="L22" s="5"/>
      <c r="M22" s="5"/>
      <c r="N22" s="5"/>
      <c r="O22" s="5"/>
      <c r="P22" s="5"/>
      <c r="Q22" s="8">
        <f>IF(COUNTA($A22:$B22,$E22,$H22,$K22,$N22,$F22,$I22,$L22,$O22)=0,"",IF($A22="","Nedostaje disciplina",IF($E22="","Nedostaje godište prvog člana",IF($C22="","Godište nije obuhvaćeno uzrasnom tabelom",IF(COUNTIF(INDIRECT("tdisc_"&amp;$C22),$A22)=0,"Disciplina nije moguća za uzrast "&amp;$C22,IF(IF($E22="",0,IF(LOOKUP($E22,INDEX(grupe,0,1),INDEX(grupe,0,2))=$C22,0,1))+IF($H22="",0,IF(LOOKUP($H22,INDEX(grupe,0,1),INDEX(grupe,0,2))=$C22,0,1))+IF($K22="",0,IF(LOOKUP($K22,INDEX(grupe,0,1),INDEX(grupe,0,2))=$C22,0,1))+IF($N22="",0,IF(LOOKUP($N22,INDEX(grupe,0,1),INDEX(grupe,0,2))=$C22,0,1))&gt;0,"Članovi ekipe nisu iz iste uzrasne grupe",IF(COUNTA($F22,$I22,$L22,$O22)&lt;&gt;COUNTA($E22,$H22,$K22,$N22),"Za svakog člana potrebni su i godište i ime",IF(IF(SUMPRODUCT(--ISERROR(FIND(MID($F22&amp;REPT("a",60),ROW($A$1:$A$60),1),"ABCDEFGHIJKLMNOPQRSTUVWXYZabcdefghijklmnopqrstuvwxyzČĆĐŠŽčćđšž -'")))=0,0,1)+IF(SUMPRODUCT(--ISERROR(FIND(MID($I22&amp;REPT("a",60),ROW($A$1:$A$60),1),"ABCDEFGHIJKLMNOPQRSTUVWXYZabcdefghijklmnopqrstuvwxyzČĆĐŠŽčćđšž -'")))=0,0,1)+IF(SUMPRODUCT(--ISERROR(FIND(MID($L22&amp;REPT("a",60),ROW($A$1:$A$60),1),"ABCDEFGHIJKLMNOPQRSTUVWXYZabcdefghijklmnopqrstuvwxyzČĆĐŠŽčćđšž -'")))=0,0,1)+IF(SUMPRODUCT(--ISERROR(FIND(MID($O22&amp;REPT("a",60),ROW($A$1:$A$60),1),"ABCDEFGHIJKLMNOPQRSTUVWXYZabcdefghijklmnopqrstuvwxyzČĆĐŠŽčćđšž -'")))=0,0,1)&gt;0,"Ime sadrži znakove koji nisu slova",IF(COUNTA($G22,$J22,$M22,$P22)&lt;&gt;COUNTA($F22,$I22,$L22,$O22),"Nedostaje pol za nekog od članova",IF(COUNTA($F22,$I22,$L22,$O22)&lt;VLOOKUP($A22,ekipe,2,FALSE),"Ekipa mora imati najmanje "&amp;VLOOKUP($A22,ekipe,2,FALSE)&amp;" člana",IF(COUNTA($F22,$I22,$L22,$O22)&gt;VLOOKUP($A22,ekipe,3,FALSE),"Ekipa može imati najviše "&amp;VLOOKUP($A22,ekipe,3,FALSE)&amp;" člana",IF($B22="","Nedostaje vrsta ekipe","prijava je kompletna")))))))))))</f>
        <v/>
      </c>
      <c r="R22">
        <f>IF($C22="","sve_ekipne","tdisc_"&amp;$C22)</f>
        <v/>
      </c>
    </row>
    <row r="23" spans="1:18">
      <c r="A23" s="5"/>
      <c r="B23" s="5"/>
      <c r="C23" s="7">
        <f>IF($E23="","",LOOKUP($E23,INDEX(grupe,0,1),INDEX(grupe,0,2)))</f>
        <v/>
      </c>
      <c r="D23" s="7">
        <f>IF($C23="","",VLOOKUP($C23,INDEX(grupe,0,2):INDEX(grupe,0,3),2,FALSE))</f>
        <v/>
      </c>
      <c r="E23" s="5"/>
      <c r="F23" s="5"/>
      <c r="G23" s="5"/>
      <c r="H23" s="5"/>
      <c r="I23" s="5"/>
      <c r="J23" s="5"/>
      <c r="K23" s="5"/>
      <c r="L23" s="5"/>
      <c r="M23" s="5"/>
      <c r="N23" s="5"/>
      <c r="O23" s="5"/>
      <c r="P23" s="5"/>
      <c r="Q23" s="8">
        <f>IF(COUNTA($A23:$B23,$E23,$H23,$K23,$N23,$F23,$I23,$L23,$O23)=0,"",IF($A23="","Nedostaje disciplina",IF($E23="","Nedostaje godište prvog člana",IF($C23="","Godište nije obuhvaćeno uzrasnom tabelom",IF(COUNTIF(INDIRECT("tdisc_"&amp;$C23),$A23)=0,"Disciplina nije moguća za uzrast "&amp;$C23,IF(IF($E23="",0,IF(LOOKUP($E23,INDEX(grupe,0,1),INDEX(grupe,0,2))=$C23,0,1))+IF($H23="",0,IF(LOOKUP($H23,INDEX(grupe,0,1),INDEX(grupe,0,2))=$C23,0,1))+IF($K23="",0,IF(LOOKUP($K23,INDEX(grupe,0,1),INDEX(grupe,0,2))=$C23,0,1))+IF($N23="",0,IF(LOOKUP($N23,INDEX(grupe,0,1),INDEX(grupe,0,2))=$C23,0,1))&gt;0,"Članovi ekipe nisu iz iste uzrasne grupe",IF(COUNTA($F23,$I23,$L23,$O23)&lt;&gt;COUNTA($E23,$H23,$K23,$N23),"Za svakog člana potrebni su i godište i ime",IF(IF(SUMPRODUCT(--ISERROR(FIND(MID($F23&amp;REPT("a",60),ROW($A$1:$A$60),1),"ABCDEFGHIJKLMNOPQRSTUVWXYZabcdefghijklmnopqrstuvwxyzČĆĐŠŽčćđšž -'")))=0,0,1)+IF(SUMPRODUCT(--ISERROR(FIND(MID($I23&amp;REPT("a",60),ROW($A$1:$A$60),1),"ABCDEFGHIJKLMNOPQRSTUVWXYZabcdefghijklmnopqrstuvwxyzČĆĐŠŽčćđšž -'")))=0,0,1)+IF(SUMPRODUCT(--ISERROR(FIND(MID($L23&amp;REPT("a",60),ROW($A$1:$A$60),1),"ABCDEFGHIJKLMNOPQRSTUVWXYZabcdefghijklmnopqrstuvwxyzČĆĐŠŽčćđšž -'")))=0,0,1)+IF(SUMPRODUCT(--ISERROR(FIND(MID($O23&amp;REPT("a",60),ROW($A$1:$A$60),1),"ABCDEFGHIJKLMNOPQRSTUVWXYZabcdefghijklmnopqrstuvwxyzČĆĐŠŽčćđšž -'")))=0,0,1)&gt;0,"Ime sadrži znakove koji nisu slova",IF(COUNTA($G23,$J23,$M23,$P23)&lt;&gt;COUNTA($F23,$I23,$L23,$O23),"Nedostaje pol za nekog od članova",IF(COUNTA($F23,$I23,$L23,$O23)&lt;VLOOKUP($A23,ekipe,2,FALSE),"Ekipa mora imati najmanje "&amp;VLOOKUP($A23,ekipe,2,FALSE)&amp;" člana",IF(COUNTA($F23,$I23,$L23,$O23)&gt;VLOOKUP($A23,ekipe,3,FALSE),"Ekipa može imati najviše "&amp;VLOOKUP($A23,ekipe,3,FALSE)&amp;" člana",IF($B23="","Nedostaje vrsta ekipe","prijava je kompletna")))))))))))</f>
        <v/>
      </c>
      <c r="R23">
        <f>IF($C23="","sve_ekipne","tdisc_"&amp;$C23)</f>
        <v/>
      </c>
    </row>
    <row r="24" spans="1:18">
      <c r="A24" s="5"/>
      <c r="B24" s="5"/>
      <c r="C24" s="7">
        <f>IF($E24="","",LOOKUP($E24,INDEX(grupe,0,1),INDEX(grupe,0,2)))</f>
        <v/>
      </c>
      <c r="D24" s="7">
        <f>IF($C24="","",VLOOKUP($C24,INDEX(grupe,0,2):INDEX(grupe,0,3),2,FALSE))</f>
        <v/>
      </c>
      <c r="E24" s="5"/>
      <c r="F24" s="5"/>
      <c r="G24" s="5"/>
      <c r="H24" s="5"/>
      <c r="I24" s="5"/>
      <c r="J24" s="5"/>
      <c r="K24" s="5"/>
      <c r="L24" s="5"/>
      <c r="M24" s="5"/>
      <c r="N24" s="5"/>
      <c r="O24" s="5"/>
      <c r="P24" s="5"/>
      <c r="Q24" s="8">
        <f>IF(COUNTA($A24:$B24,$E24,$H24,$K24,$N24,$F24,$I24,$L24,$O24)=0,"",IF($A24="","Nedostaje disciplina",IF($E24="","Nedostaje godište prvog člana",IF($C24="","Godište nije obuhvaćeno uzrasnom tabelom",IF(COUNTIF(INDIRECT("tdisc_"&amp;$C24),$A24)=0,"Disciplina nije moguća za uzrast "&amp;$C24,IF(IF($E24="",0,IF(LOOKUP($E24,INDEX(grupe,0,1),INDEX(grupe,0,2))=$C24,0,1))+IF($H24="",0,IF(LOOKUP($H24,INDEX(grupe,0,1),INDEX(grupe,0,2))=$C24,0,1))+IF($K24="",0,IF(LOOKUP($K24,INDEX(grupe,0,1),INDEX(grupe,0,2))=$C24,0,1))+IF($N24="",0,IF(LOOKUP($N24,INDEX(grupe,0,1),INDEX(grupe,0,2))=$C24,0,1))&gt;0,"Članovi ekipe nisu iz iste uzrasne grupe",IF(COUNTA($F24,$I24,$L24,$O24)&lt;&gt;COUNTA($E24,$H24,$K24,$N24),"Za svakog člana potrebni su i godište i ime",IF(IF(SUMPRODUCT(--ISERROR(FIND(MID($F24&amp;REPT("a",60),ROW($A$1:$A$60),1),"ABCDEFGHIJKLMNOPQRSTUVWXYZabcdefghijklmnopqrstuvwxyzČĆĐŠŽčćđšž -'")))=0,0,1)+IF(SUMPRODUCT(--ISERROR(FIND(MID($I24&amp;REPT("a",60),ROW($A$1:$A$60),1),"ABCDEFGHIJKLMNOPQRSTUVWXYZabcdefghijklmnopqrstuvwxyzČĆĐŠŽčćđšž -'")))=0,0,1)+IF(SUMPRODUCT(--ISERROR(FIND(MID($L24&amp;REPT("a",60),ROW($A$1:$A$60),1),"ABCDEFGHIJKLMNOPQRSTUVWXYZabcdefghijklmnopqrstuvwxyzČĆĐŠŽčćđšž -'")))=0,0,1)+IF(SUMPRODUCT(--ISERROR(FIND(MID($O24&amp;REPT("a",60),ROW($A$1:$A$60),1),"ABCDEFGHIJKLMNOPQRSTUVWXYZabcdefghijklmnopqrstuvwxyzČĆĐŠŽčćđšž -'")))=0,0,1)&gt;0,"Ime sadrži znakove koji nisu slova",IF(COUNTA($G24,$J24,$M24,$P24)&lt;&gt;COUNTA($F24,$I24,$L24,$O24),"Nedostaje pol za nekog od članova",IF(COUNTA($F24,$I24,$L24,$O24)&lt;VLOOKUP($A24,ekipe,2,FALSE),"Ekipa mora imati najmanje "&amp;VLOOKUP($A24,ekipe,2,FALSE)&amp;" člana",IF(COUNTA($F24,$I24,$L24,$O24)&gt;VLOOKUP($A24,ekipe,3,FALSE),"Ekipa može imati najviše "&amp;VLOOKUP($A24,ekipe,3,FALSE)&amp;" člana",IF($B24="","Nedostaje vrsta ekipe","prijava je kompletna")))))))))))</f>
        <v/>
      </c>
      <c r="R24">
        <f>IF($C24="","sve_ekipne","tdisc_"&amp;$C24)</f>
        <v/>
      </c>
    </row>
    <row r="25" spans="1:18">
      <c r="A25" s="5"/>
      <c r="B25" s="5"/>
      <c r="C25" s="7">
        <f>IF($E25="","",LOOKUP($E25,INDEX(grupe,0,1),INDEX(grupe,0,2)))</f>
        <v/>
      </c>
      <c r="D25" s="7">
        <f>IF($C25="","",VLOOKUP($C25,INDEX(grupe,0,2):INDEX(grupe,0,3),2,FALSE))</f>
        <v/>
      </c>
      <c r="E25" s="5"/>
      <c r="F25" s="5"/>
      <c r="G25" s="5"/>
      <c r="H25" s="5"/>
      <c r="I25" s="5"/>
      <c r="J25" s="5"/>
      <c r="K25" s="5"/>
      <c r="L25" s="5"/>
      <c r="M25" s="5"/>
      <c r="N25" s="5"/>
      <c r="O25" s="5"/>
      <c r="P25" s="5"/>
      <c r="Q25" s="8">
        <f>IF(COUNTA($A25:$B25,$E25,$H25,$K25,$N25,$F25,$I25,$L25,$O25)=0,"",IF($A25="","Nedostaje disciplina",IF($E25="","Nedostaje godište prvog člana",IF($C25="","Godište nije obuhvaćeno uzrasnom tabelom",IF(COUNTIF(INDIRECT("tdisc_"&amp;$C25),$A25)=0,"Disciplina nije moguća za uzrast "&amp;$C25,IF(IF($E25="",0,IF(LOOKUP($E25,INDEX(grupe,0,1),INDEX(grupe,0,2))=$C25,0,1))+IF($H25="",0,IF(LOOKUP($H25,INDEX(grupe,0,1),INDEX(grupe,0,2))=$C25,0,1))+IF($K25="",0,IF(LOOKUP($K25,INDEX(grupe,0,1),INDEX(grupe,0,2))=$C25,0,1))+IF($N25="",0,IF(LOOKUP($N25,INDEX(grupe,0,1),INDEX(grupe,0,2))=$C25,0,1))&gt;0,"Članovi ekipe nisu iz iste uzrasne grupe",IF(COUNTA($F25,$I25,$L25,$O25)&lt;&gt;COUNTA($E25,$H25,$K25,$N25),"Za svakog člana potrebni su i godište i ime",IF(IF(SUMPRODUCT(--ISERROR(FIND(MID($F25&amp;REPT("a",60),ROW($A$1:$A$60),1),"ABCDEFGHIJKLMNOPQRSTUVWXYZabcdefghijklmnopqrstuvwxyzČĆĐŠŽčćđšž -'")))=0,0,1)+IF(SUMPRODUCT(--ISERROR(FIND(MID($I25&amp;REPT("a",60),ROW($A$1:$A$60),1),"ABCDEFGHIJKLMNOPQRSTUVWXYZabcdefghijklmnopqrstuvwxyzČĆĐŠŽčćđšž -'")))=0,0,1)+IF(SUMPRODUCT(--ISERROR(FIND(MID($L25&amp;REPT("a",60),ROW($A$1:$A$60),1),"ABCDEFGHIJKLMNOPQRSTUVWXYZabcdefghijklmnopqrstuvwxyzČĆĐŠŽčćđšž -'")))=0,0,1)+IF(SUMPRODUCT(--ISERROR(FIND(MID($O25&amp;REPT("a",60),ROW($A$1:$A$60),1),"ABCDEFGHIJKLMNOPQRSTUVWXYZabcdefghijklmnopqrstuvwxyzČĆĐŠŽčćđšž -'")))=0,0,1)&gt;0,"Ime sadrži znakove koji nisu slova",IF(COUNTA($G25,$J25,$M25,$P25)&lt;&gt;COUNTA($F25,$I25,$L25,$O25),"Nedostaje pol za nekog od članova",IF(COUNTA($F25,$I25,$L25,$O25)&lt;VLOOKUP($A25,ekipe,2,FALSE),"Ekipa mora imati najmanje "&amp;VLOOKUP($A25,ekipe,2,FALSE)&amp;" člana",IF(COUNTA($F25,$I25,$L25,$O25)&gt;VLOOKUP($A25,ekipe,3,FALSE),"Ekipa može imati najviše "&amp;VLOOKUP($A25,ekipe,3,FALSE)&amp;" člana",IF($B25="","Nedostaje vrsta ekipe","prijava je kompletna")))))))))))</f>
        <v/>
      </c>
      <c r="R25">
        <f>IF($C25="","sve_ekipne","tdisc_"&amp;$C25)</f>
        <v/>
      </c>
    </row>
    <row r="26" spans="1:18">
      <c r="A26" s="5"/>
      <c r="B26" s="5"/>
      <c r="C26" s="7">
        <f>IF($E26="","",LOOKUP($E26,INDEX(grupe,0,1),INDEX(grupe,0,2)))</f>
        <v/>
      </c>
      <c r="D26" s="7">
        <f>IF($C26="","",VLOOKUP($C26,INDEX(grupe,0,2):INDEX(grupe,0,3),2,FALSE))</f>
        <v/>
      </c>
      <c r="E26" s="5"/>
      <c r="F26" s="5"/>
      <c r="G26" s="5"/>
      <c r="H26" s="5"/>
      <c r="I26" s="5"/>
      <c r="J26" s="5"/>
      <c r="K26" s="5"/>
      <c r="L26" s="5"/>
      <c r="M26" s="5"/>
      <c r="N26" s="5"/>
      <c r="O26" s="5"/>
      <c r="P26" s="5"/>
      <c r="Q26" s="8">
        <f>IF(COUNTA($A26:$B26,$E26,$H26,$K26,$N26,$F26,$I26,$L26,$O26)=0,"",IF($A26="","Nedostaje disciplina",IF($E26="","Nedostaje godište prvog člana",IF($C26="","Godište nije obuhvaćeno uzrasnom tabelom",IF(COUNTIF(INDIRECT("tdisc_"&amp;$C26),$A26)=0,"Disciplina nije moguća za uzrast "&amp;$C26,IF(IF($E26="",0,IF(LOOKUP($E26,INDEX(grupe,0,1),INDEX(grupe,0,2))=$C26,0,1))+IF($H26="",0,IF(LOOKUP($H26,INDEX(grupe,0,1),INDEX(grupe,0,2))=$C26,0,1))+IF($K26="",0,IF(LOOKUP($K26,INDEX(grupe,0,1),INDEX(grupe,0,2))=$C26,0,1))+IF($N26="",0,IF(LOOKUP($N26,INDEX(grupe,0,1),INDEX(grupe,0,2))=$C26,0,1))&gt;0,"Članovi ekipe nisu iz iste uzrasne grupe",IF(COUNTA($F26,$I26,$L26,$O26)&lt;&gt;COUNTA($E26,$H26,$K26,$N26),"Za svakog člana potrebni su i godište i ime",IF(IF(SUMPRODUCT(--ISERROR(FIND(MID($F26&amp;REPT("a",60),ROW($A$1:$A$60),1),"ABCDEFGHIJKLMNOPQRSTUVWXYZabcdefghijklmnopqrstuvwxyzČĆĐŠŽčćđšž -'")))=0,0,1)+IF(SUMPRODUCT(--ISERROR(FIND(MID($I26&amp;REPT("a",60),ROW($A$1:$A$60),1),"ABCDEFGHIJKLMNOPQRSTUVWXYZabcdefghijklmnopqrstuvwxyzČĆĐŠŽčćđšž -'")))=0,0,1)+IF(SUMPRODUCT(--ISERROR(FIND(MID($L26&amp;REPT("a",60),ROW($A$1:$A$60),1),"ABCDEFGHIJKLMNOPQRSTUVWXYZabcdefghijklmnopqrstuvwxyzČĆĐŠŽčćđšž -'")))=0,0,1)+IF(SUMPRODUCT(--ISERROR(FIND(MID($O26&amp;REPT("a",60),ROW($A$1:$A$60),1),"ABCDEFGHIJKLMNOPQRSTUVWXYZabcdefghijklmnopqrstuvwxyzČĆĐŠŽčćđšž -'")))=0,0,1)&gt;0,"Ime sadrži znakove koji nisu slova",IF(COUNTA($G26,$J26,$M26,$P26)&lt;&gt;COUNTA($F26,$I26,$L26,$O26),"Nedostaje pol za nekog od članova",IF(COUNTA($F26,$I26,$L26,$O26)&lt;VLOOKUP($A26,ekipe,2,FALSE),"Ekipa mora imati najmanje "&amp;VLOOKUP($A26,ekipe,2,FALSE)&amp;" člana",IF(COUNTA($F26,$I26,$L26,$O26)&gt;VLOOKUP($A26,ekipe,3,FALSE),"Ekipa može imati najviše "&amp;VLOOKUP($A26,ekipe,3,FALSE)&amp;" člana",IF($B26="","Nedostaje vrsta ekipe","prijava je kompletna")))))))))))</f>
        <v/>
      </c>
      <c r="R26">
        <f>IF($C26="","sve_ekipne","tdisc_"&amp;$C26)</f>
        <v/>
      </c>
    </row>
    <row r="27" spans="1:18">
      <c r="A27" s="5"/>
      <c r="B27" s="5"/>
      <c r="C27" s="7">
        <f>IF($E27="","",LOOKUP($E27,INDEX(grupe,0,1),INDEX(grupe,0,2)))</f>
        <v/>
      </c>
      <c r="D27" s="7">
        <f>IF($C27="","",VLOOKUP($C27,INDEX(grupe,0,2):INDEX(grupe,0,3),2,FALSE))</f>
        <v/>
      </c>
      <c r="E27" s="5"/>
      <c r="F27" s="5"/>
      <c r="G27" s="5"/>
      <c r="H27" s="5"/>
      <c r="I27" s="5"/>
      <c r="J27" s="5"/>
      <c r="K27" s="5"/>
      <c r="L27" s="5"/>
      <c r="M27" s="5"/>
      <c r="N27" s="5"/>
      <c r="O27" s="5"/>
      <c r="P27" s="5"/>
      <c r="Q27" s="8">
        <f>IF(COUNTA($A27:$B27,$E27,$H27,$K27,$N27,$F27,$I27,$L27,$O27)=0,"",IF($A27="","Nedostaje disciplina",IF($E27="","Nedostaje godište prvog člana",IF($C27="","Godište nije obuhvaćeno uzrasnom tabelom",IF(COUNTIF(INDIRECT("tdisc_"&amp;$C27),$A27)=0,"Disciplina nije moguća za uzrast "&amp;$C27,IF(IF($E27="",0,IF(LOOKUP($E27,INDEX(grupe,0,1),INDEX(grupe,0,2))=$C27,0,1))+IF($H27="",0,IF(LOOKUP($H27,INDEX(grupe,0,1),INDEX(grupe,0,2))=$C27,0,1))+IF($K27="",0,IF(LOOKUP($K27,INDEX(grupe,0,1),INDEX(grupe,0,2))=$C27,0,1))+IF($N27="",0,IF(LOOKUP($N27,INDEX(grupe,0,1),INDEX(grupe,0,2))=$C27,0,1))&gt;0,"Članovi ekipe nisu iz iste uzrasne grupe",IF(COUNTA($F27,$I27,$L27,$O27)&lt;&gt;COUNTA($E27,$H27,$K27,$N27),"Za svakog člana potrebni su i godište i ime",IF(IF(SUMPRODUCT(--ISERROR(FIND(MID($F27&amp;REPT("a",60),ROW($A$1:$A$60),1),"ABCDEFGHIJKLMNOPQRSTUVWXYZabcdefghijklmnopqrstuvwxyzČĆĐŠŽčćđšž -'")))=0,0,1)+IF(SUMPRODUCT(--ISERROR(FIND(MID($I27&amp;REPT("a",60),ROW($A$1:$A$60),1),"ABCDEFGHIJKLMNOPQRSTUVWXYZabcdefghijklmnopqrstuvwxyzČĆĐŠŽčćđšž -'")))=0,0,1)+IF(SUMPRODUCT(--ISERROR(FIND(MID($L27&amp;REPT("a",60),ROW($A$1:$A$60),1),"ABCDEFGHIJKLMNOPQRSTUVWXYZabcdefghijklmnopqrstuvwxyzČĆĐŠŽčćđšž -'")))=0,0,1)+IF(SUMPRODUCT(--ISERROR(FIND(MID($O27&amp;REPT("a",60),ROW($A$1:$A$60),1),"ABCDEFGHIJKLMNOPQRSTUVWXYZabcdefghijklmnopqrstuvwxyzČĆĐŠŽčćđšž -'")))=0,0,1)&gt;0,"Ime sadrži znakove koji nisu slova",IF(COUNTA($G27,$J27,$M27,$P27)&lt;&gt;COUNTA($F27,$I27,$L27,$O27),"Nedostaje pol za nekog od članova",IF(COUNTA($F27,$I27,$L27,$O27)&lt;VLOOKUP($A27,ekipe,2,FALSE),"Ekipa mora imati najmanje "&amp;VLOOKUP($A27,ekipe,2,FALSE)&amp;" člana",IF(COUNTA($F27,$I27,$L27,$O27)&gt;VLOOKUP($A27,ekipe,3,FALSE),"Ekipa može imati najviše "&amp;VLOOKUP($A27,ekipe,3,FALSE)&amp;" člana",IF($B27="","Nedostaje vrsta ekipe","prijava je kompletna")))))))))))</f>
        <v/>
      </c>
      <c r="R27">
        <f>IF($C27="","sve_ekipne","tdisc_"&amp;$C27)</f>
        <v/>
      </c>
    </row>
    <row r="28" spans="1:18">
      <c r="A28" s="5"/>
      <c r="B28" s="5"/>
      <c r="C28" s="7">
        <f>IF($E28="","",LOOKUP($E28,INDEX(grupe,0,1),INDEX(grupe,0,2)))</f>
        <v/>
      </c>
      <c r="D28" s="7">
        <f>IF($C28="","",VLOOKUP($C28,INDEX(grupe,0,2):INDEX(grupe,0,3),2,FALSE))</f>
        <v/>
      </c>
      <c r="E28" s="5"/>
      <c r="F28" s="5"/>
      <c r="G28" s="5"/>
      <c r="H28" s="5"/>
      <c r="I28" s="5"/>
      <c r="J28" s="5"/>
      <c r="K28" s="5"/>
      <c r="L28" s="5"/>
      <c r="M28" s="5"/>
      <c r="N28" s="5"/>
      <c r="O28" s="5"/>
      <c r="P28" s="5"/>
      <c r="Q28" s="8">
        <f>IF(COUNTA($A28:$B28,$E28,$H28,$K28,$N28,$F28,$I28,$L28,$O28)=0,"",IF($A28="","Nedostaje disciplina",IF($E28="","Nedostaje godište prvog člana",IF($C28="","Godište nije obuhvaćeno uzrasnom tabelom",IF(COUNTIF(INDIRECT("tdisc_"&amp;$C28),$A28)=0,"Disciplina nije moguća za uzrast "&amp;$C28,IF(IF($E28="",0,IF(LOOKUP($E28,INDEX(grupe,0,1),INDEX(grupe,0,2))=$C28,0,1))+IF($H28="",0,IF(LOOKUP($H28,INDEX(grupe,0,1),INDEX(grupe,0,2))=$C28,0,1))+IF($K28="",0,IF(LOOKUP($K28,INDEX(grupe,0,1),INDEX(grupe,0,2))=$C28,0,1))+IF($N28="",0,IF(LOOKUP($N28,INDEX(grupe,0,1),INDEX(grupe,0,2))=$C28,0,1))&gt;0,"Članovi ekipe nisu iz iste uzrasne grupe",IF(COUNTA($F28,$I28,$L28,$O28)&lt;&gt;COUNTA($E28,$H28,$K28,$N28),"Za svakog člana potrebni su i godište i ime",IF(IF(SUMPRODUCT(--ISERROR(FIND(MID($F28&amp;REPT("a",60),ROW($A$1:$A$60),1),"ABCDEFGHIJKLMNOPQRSTUVWXYZabcdefghijklmnopqrstuvwxyzČĆĐŠŽčćđšž -'")))=0,0,1)+IF(SUMPRODUCT(--ISERROR(FIND(MID($I28&amp;REPT("a",60),ROW($A$1:$A$60),1),"ABCDEFGHIJKLMNOPQRSTUVWXYZabcdefghijklmnopqrstuvwxyzČĆĐŠŽčćđšž -'")))=0,0,1)+IF(SUMPRODUCT(--ISERROR(FIND(MID($L28&amp;REPT("a",60),ROW($A$1:$A$60),1),"ABCDEFGHIJKLMNOPQRSTUVWXYZabcdefghijklmnopqrstuvwxyzČĆĐŠŽčćđšž -'")))=0,0,1)+IF(SUMPRODUCT(--ISERROR(FIND(MID($O28&amp;REPT("a",60),ROW($A$1:$A$60),1),"ABCDEFGHIJKLMNOPQRSTUVWXYZabcdefghijklmnopqrstuvwxyzČĆĐŠŽčćđšž -'")))=0,0,1)&gt;0,"Ime sadrži znakove koji nisu slova",IF(COUNTA($G28,$J28,$M28,$P28)&lt;&gt;COUNTA($F28,$I28,$L28,$O28),"Nedostaje pol za nekog od članova",IF(COUNTA($F28,$I28,$L28,$O28)&lt;VLOOKUP($A28,ekipe,2,FALSE),"Ekipa mora imati najmanje "&amp;VLOOKUP($A28,ekipe,2,FALSE)&amp;" člana",IF(COUNTA($F28,$I28,$L28,$O28)&gt;VLOOKUP($A28,ekipe,3,FALSE),"Ekipa može imati najviše "&amp;VLOOKUP($A28,ekipe,3,FALSE)&amp;" člana",IF($B28="","Nedostaje vrsta ekipe","prijava je kompletna")))))))))))</f>
        <v/>
      </c>
      <c r="R28">
        <f>IF($C28="","sve_ekipne","tdisc_"&amp;$C28)</f>
        <v/>
      </c>
    </row>
    <row r="29" spans="1:18">
      <c r="A29" s="5"/>
      <c r="B29" s="5"/>
      <c r="C29" s="7">
        <f>IF($E29="","",LOOKUP($E29,INDEX(grupe,0,1),INDEX(grupe,0,2)))</f>
        <v/>
      </c>
      <c r="D29" s="7">
        <f>IF($C29="","",VLOOKUP($C29,INDEX(grupe,0,2):INDEX(grupe,0,3),2,FALSE))</f>
        <v/>
      </c>
      <c r="E29" s="5"/>
      <c r="F29" s="5"/>
      <c r="G29" s="5"/>
      <c r="H29" s="5"/>
      <c r="I29" s="5"/>
      <c r="J29" s="5"/>
      <c r="K29" s="5"/>
      <c r="L29" s="5"/>
      <c r="M29" s="5"/>
      <c r="N29" s="5"/>
      <c r="O29" s="5"/>
      <c r="P29" s="5"/>
      <c r="Q29" s="8">
        <f>IF(COUNTA($A29:$B29,$E29,$H29,$K29,$N29,$F29,$I29,$L29,$O29)=0,"",IF($A29="","Nedostaje disciplina",IF($E29="","Nedostaje godište prvog člana",IF($C29="","Godište nije obuhvaćeno uzrasnom tabelom",IF(COUNTIF(INDIRECT("tdisc_"&amp;$C29),$A29)=0,"Disciplina nije moguća za uzrast "&amp;$C29,IF(IF($E29="",0,IF(LOOKUP($E29,INDEX(grupe,0,1),INDEX(grupe,0,2))=$C29,0,1))+IF($H29="",0,IF(LOOKUP($H29,INDEX(grupe,0,1),INDEX(grupe,0,2))=$C29,0,1))+IF($K29="",0,IF(LOOKUP($K29,INDEX(grupe,0,1),INDEX(grupe,0,2))=$C29,0,1))+IF($N29="",0,IF(LOOKUP($N29,INDEX(grupe,0,1),INDEX(grupe,0,2))=$C29,0,1))&gt;0,"Članovi ekipe nisu iz iste uzrasne grupe",IF(COUNTA($F29,$I29,$L29,$O29)&lt;&gt;COUNTA($E29,$H29,$K29,$N29),"Za svakog člana potrebni su i godište i ime",IF(IF(SUMPRODUCT(--ISERROR(FIND(MID($F29&amp;REPT("a",60),ROW($A$1:$A$60),1),"ABCDEFGHIJKLMNOPQRSTUVWXYZabcdefghijklmnopqrstuvwxyzČĆĐŠŽčćđšž -'")))=0,0,1)+IF(SUMPRODUCT(--ISERROR(FIND(MID($I29&amp;REPT("a",60),ROW($A$1:$A$60),1),"ABCDEFGHIJKLMNOPQRSTUVWXYZabcdefghijklmnopqrstuvwxyzČĆĐŠŽčćđšž -'")))=0,0,1)+IF(SUMPRODUCT(--ISERROR(FIND(MID($L29&amp;REPT("a",60),ROW($A$1:$A$60),1),"ABCDEFGHIJKLMNOPQRSTUVWXYZabcdefghijklmnopqrstuvwxyzČĆĐŠŽčćđšž -'")))=0,0,1)+IF(SUMPRODUCT(--ISERROR(FIND(MID($O29&amp;REPT("a",60),ROW($A$1:$A$60),1),"ABCDEFGHIJKLMNOPQRSTUVWXYZabcdefghijklmnopqrstuvwxyzČĆĐŠŽčćđšž -'")))=0,0,1)&gt;0,"Ime sadrži znakove koji nisu slova",IF(COUNTA($G29,$J29,$M29,$P29)&lt;&gt;COUNTA($F29,$I29,$L29,$O29),"Nedostaje pol za nekog od članova",IF(COUNTA($F29,$I29,$L29,$O29)&lt;VLOOKUP($A29,ekipe,2,FALSE),"Ekipa mora imati najmanje "&amp;VLOOKUP($A29,ekipe,2,FALSE)&amp;" člana",IF(COUNTA($F29,$I29,$L29,$O29)&gt;VLOOKUP($A29,ekipe,3,FALSE),"Ekipa može imati najviše "&amp;VLOOKUP($A29,ekipe,3,FALSE)&amp;" člana",IF($B29="","Nedostaje vrsta ekipe","prijava je kompletna")))))))))))</f>
        <v/>
      </c>
      <c r="R29">
        <f>IF($C29="","sve_ekipne","tdisc_"&amp;$C29)</f>
        <v/>
      </c>
    </row>
    <row r="30" spans="1:18">
      <c r="A30" s="5"/>
      <c r="B30" s="5"/>
      <c r="C30" s="7">
        <f>IF($E30="","",LOOKUP($E30,INDEX(grupe,0,1),INDEX(grupe,0,2)))</f>
        <v/>
      </c>
      <c r="D30" s="7">
        <f>IF($C30="","",VLOOKUP($C30,INDEX(grupe,0,2):INDEX(grupe,0,3),2,FALSE))</f>
        <v/>
      </c>
      <c r="E30" s="5"/>
      <c r="F30" s="5"/>
      <c r="G30" s="5"/>
      <c r="H30" s="5"/>
      <c r="I30" s="5"/>
      <c r="J30" s="5"/>
      <c r="K30" s="5"/>
      <c r="L30" s="5"/>
      <c r="M30" s="5"/>
      <c r="N30" s="5"/>
      <c r="O30" s="5"/>
      <c r="P30" s="5"/>
      <c r="Q30" s="8">
        <f>IF(COUNTA($A30:$B30,$E30,$H30,$K30,$N30,$F30,$I30,$L30,$O30)=0,"",IF($A30="","Nedostaje disciplina",IF($E30="","Nedostaje godište prvog člana",IF($C30="","Godište nije obuhvaćeno uzrasnom tabelom",IF(COUNTIF(INDIRECT("tdisc_"&amp;$C30),$A30)=0,"Disciplina nije moguća za uzrast "&amp;$C30,IF(IF($E30="",0,IF(LOOKUP($E30,INDEX(grupe,0,1),INDEX(grupe,0,2))=$C30,0,1))+IF($H30="",0,IF(LOOKUP($H30,INDEX(grupe,0,1),INDEX(grupe,0,2))=$C30,0,1))+IF($K30="",0,IF(LOOKUP($K30,INDEX(grupe,0,1),INDEX(grupe,0,2))=$C30,0,1))+IF($N30="",0,IF(LOOKUP($N30,INDEX(grupe,0,1),INDEX(grupe,0,2))=$C30,0,1))&gt;0,"Članovi ekipe nisu iz iste uzrasne grupe",IF(COUNTA($F30,$I30,$L30,$O30)&lt;&gt;COUNTA($E30,$H30,$K30,$N30),"Za svakog člana potrebni su i godište i ime",IF(IF(SUMPRODUCT(--ISERROR(FIND(MID($F30&amp;REPT("a",60),ROW($A$1:$A$60),1),"ABCDEFGHIJKLMNOPQRSTUVWXYZabcdefghijklmnopqrstuvwxyzČĆĐŠŽčćđšž -'")))=0,0,1)+IF(SUMPRODUCT(--ISERROR(FIND(MID($I30&amp;REPT("a",60),ROW($A$1:$A$60),1),"ABCDEFGHIJKLMNOPQRSTUVWXYZabcdefghijklmnopqrstuvwxyzČĆĐŠŽčćđšž -'")))=0,0,1)+IF(SUMPRODUCT(--ISERROR(FIND(MID($L30&amp;REPT("a",60),ROW($A$1:$A$60),1),"ABCDEFGHIJKLMNOPQRSTUVWXYZabcdefghijklmnopqrstuvwxyzČĆĐŠŽčćđšž -'")))=0,0,1)+IF(SUMPRODUCT(--ISERROR(FIND(MID($O30&amp;REPT("a",60),ROW($A$1:$A$60),1),"ABCDEFGHIJKLMNOPQRSTUVWXYZabcdefghijklmnopqrstuvwxyzČĆĐŠŽčćđšž -'")))=0,0,1)&gt;0,"Ime sadrži znakove koji nisu slova",IF(COUNTA($G30,$J30,$M30,$P30)&lt;&gt;COUNTA($F30,$I30,$L30,$O30),"Nedostaje pol za nekog od članova",IF(COUNTA($F30,$I30,$L30,$O30)&lt;VLOOKUP($A30,ekipe,2,FALSE),"Ekipa mora imati najmanje "&amp;VLOOKUP($A30,ekipe,2,FALSE)&amp;" člana",IF(COUNTA($F30,$I30,$L30,$O30)&gt;VLOOKUP($A30,ekipe,3,FALSE),"Ekipa može imati najviše "&amp;VLOOKUP($A30,ekipe,3,FALSE)&amp;" člana",IF($B30="","Nedostaje vrsta ekipe","prijava je kompletna")))))))))))</f>
        <v/>
      </c>
      <c r="R30">
        <f>IF($C30="","sve_ekipne","tdisc_"&amp;$C30)</f>
        <v/>
      </c>
    </row>
    <row r="31" spans="1:18">
      <c r="A31" s="5"/>
      <c r="B31" s="5"/>
      <c r="C31" s="7">
        <f>IF($E31="","",LOOKUP($E31,INDEX(grupe,0,1),INDEX(grupe,0,2)))</f>
        <v/>
      </c>
      <c r="D31" s="7">
        <f>IF($C31="","",VLOOKUP($C31,INDEX(grupe,0,2):INDEX(grupe,0,3),2,FALSE))</f>
        <v/>
      </c>
      <c r="E31" s="5"/>
      <c r="F31" s="5"/>
      <c r="G31" s="5"/>
      <c r="H31" s="5"/>
      <c r="I31" s="5"/>
      <c r="J31" s="5"/>
      <c r="K31" s="5"/>
      <c r="L31" s="5"/>
      <c r="M31" s="5"/>
      <c r="N31" s="5"/>
      <c r="O31" s="5"/>
      <c r="P31" s="5"/>
      <c r="Q31" s="8">
        <f>IF(COUNTA($A31:$B31,$E31,$H31,$K31,$N31,$F31,$I31,$L31,$O31)=0,"",IF($A31="","Nedostaje disciplina",IF($E31="","Nedostaje godište prvog člana",IF($C31="","Godište nije obuhvaćeno uzrasnom tabelom",IF(COUNTIF(INDIRECT("tdisc_"&amp;$C31),$A31)=0,"Disciplina nije moguća za uzrast "&amp;$C31,IF(IF($E31="",0,IF(LOOKUP($E31,INDEX(grupe,0,1),INDEX(grupe,0,2))=$C31,0,1))+IF($H31="",0,IF(LOOKUP($H31,INDEX(grupe,0,1),INDEX(grupe,0,2))=$C31,0,1))+IF($K31="",0,IF(LOOKUP($K31,INDEX(grupe,0,1),INDEX(grupe,0,2))=$C31,0,1))+IF($N31="",0,IF(LOOKUP($N31,INDEX(grupe,0,1),INDEX(grupe,0,2))=$C31,0,1))&gt;0,"Članovi ekipe nisu iz iste uzrasne grupe",IF(COUNTA($F31,$I31,$L31,$O31)&lt;&gt;COUNTA($E31,$H31,$K31,$N31),"Za svakog člana potrebni su i godište i ime",IF(IF(SUMPRODUCT(--ISERROR(FIND(MID($F31&amp;REPT("a",60),ROW($A$1:$A$60),1),"ABCDEFGHIJKLMNOPQRSTUVWXYZabcdefghijklmnopqrstuvwxyzČĆĐŠŽčćđšž -'")))=0,0,1)+IF(SUMPRODUCT(--ISERROR(FIND(MID($I31&amp;REPT("a",60),ROW($A$1:$A$60),1),"ABCDEFGHIJKLMNOPQRSTUVWXYZabcdefghijklmnopqrstuvwxyzČĆĐŠŽčćđšž -'")))=0,0,1)+IF(SUMPRODUCT(--ISERROR(FIND(MID($L31&amp;REPT("a",60),ROW($A$1:$A$60),1),"ABCDEFGHIJKLMNOPQRSTUVWXYZabcdefghijklmnopqrstuvwxyzČĆĐŠŽčćđšž -'")))=0,0,1)+IF(SUMPRODUCT(--ISERROR(FIND(MID($O31&amp;REPT("a",60),ROW($A$1:$A$60),1),"ABCDEFGHIJKLMNOPQRSTUVWXYZabcdefghijklmnopqrstuvwxyzČĆĐŠŽčćđšž -'")))=0,0,1)&gt;0,"Ime sadrži znakove koji nisu slova",IF(COUNTA($G31,$J31,$M31,$P31)&lt;&gt;COUNTA($F31,$I31,$L31,$O31),"Nedostaje pol za nekog od članova",IF(COUNTA($F31,$I31,$L31,$O31)&lt;VLOOKUP($A31,ekipe,2,FALSE),"Ekipa mora imati najmanje "&amp;VLOOKUP($A31,ekipe,2,FALSE)&amp;" člana",IF(COUNTA($F31,$I31,$L31,$O31)&gt;VLOOKUP($A31,ekipe,3,FALSE),"Ekipa može imati najviše "&amp;VLOOKUP($A31,ekipe,3,FALSE)&amp;" člana",IF($B31="","Nedostaje vrsta ekipe","prijava je kompletna")))))))))))</f>
        <v/>
      </c>
      <c r="R31">
        <f>IF($C31="","sve_ekipne","tdisc_"&amp;$C31)</f>
        <v/>
      </c>
    </row>
    <row r="32" spans="1:18">
      <c r="A32" s="5"/>
      <c r="B32" s="5"/>
      <c r="C32" s="7">
        <f>IF($E32="","",LOOKUP($E32,INDEX(grupe,0,1),INDEX(grupe,0,2)))</f>
        <v/>
      </c>
      <c r="D32" s="7">
        <f>IF($C32="","",VLOOKUP($C32,INDEX(grupe,0,2):INDEX(grupe,0,3),2,FALSE))</f>
        <v/>
      </c>
      <c r="E32" s="5"/>
      <c r="F32" s="5"/>
      <c r="G32" s="5"/>
      <c r="H32" s="5"/>
      <c r="I32" s="5"/>
      <c r="J32" s="5"/>
      <c r="K32" s="5"/>
      <c r="L32" s="5"/>
      <c r="M32" s="5"/>
      <c r="N32" s="5"/>
      <c r="O32" s="5"/>
      <c r="P32" s="5"/>
      <c r="Q32" s="8">
        <f>IF(COUNTA($A32:$B32,$E32,$H32,$K32,$N32,$F32,$I32,$L32,$O32)=0,"",IF($A32="","Nedostaje disciplina",IF($E32="","Nedostaje godište prvog člana",IF($C32="","Godište nije obuhvaćeno uzrasnom tabelom",IF(COUNTIF(INDIRECT("tdisc_"&amp;$C32),$A32)=0,"Disciplina nije moguća za uzrast "&amp;$C32,IF(IF($E32="",0,IF(LOOKUP($E32,INDEX(grupe,0,1),INDEX(grupe,0,2))=$C32,0,1))+IF($H32="",0,IF(LOOKUP($H32,INDEX(grupe,0,1),INDEX(grupe,0,2))=$C32,0,1))+IF($K32="",0,IF(LOOKUP($K32,INDEX(grupe,0,1),INDEX(grupe,0,2))=$C32,0,1))+IF($N32="",0,IF(LOOKUP($N32,INDEX(grupe,0,1),INDEX(grupe,0,2))=$C32,0,1))&gt;0,"Članovi ekipe nisu iz iste uzrasne grupe",IF(COUNTA($F32,$I32,$L32,$O32)&lt;&gt;COUNTA($E32,$H32,$K32,$N32),"Za svakog člana potrebni su i godište i ime",IF(IF(SUMPRODUCT(--ISERROR(FIND(MID($F32&amp;REPT("a",60),ROW($A$1:$A$60),1),"ABCDEFGHIJKLMNOPQRSTUVWXYZabcdefghijklmnopqrstuvwxyzČĆĐŠŽčćđšž -'")))=0,0,1)+IF(SUMPRODUCT(--ISERROR(FIND(MID($I32&amp;REPT("a",60),ROW($A$1:$A$60),1),"ABCDEFGHIJKLMNOPQRSTUVWXYZabcdefghijklmnopqrstuvwxyzČĆĐŠŽčćđšž -'")))=0,0,1)+IF(SUMPRODUCT(--ISERROR(FIND(MID($L32&amp;REPT("a",60),ROW($A$1:$A$60),1),"ABCDEFGHIJKLMNOPQRSTUVWXYZabcdefghijklmnopqrstuvwxyzČĆĐŠŽčćđšž -'")))=0,0,1)+IF(SUMPRODUCT(--ISERROR(FIND(MID($O32&amp;REPT("a",60),ROW($A$1:$A$60),1),"ABCDEFGHIJKLMNOPQRSTUVWXYZabcdefghijklmnopqrstuvwxyzČĆĐŠŽčćđšž -'")))=0,0,1)&gt;0,"Ime sadrži znakove koji nisu slova",IF(COUNTA($G32,$J32,$M32,$P32)&lt;&gt;COUNTA($F32,$I32,$L32,$O32),"Nedostaje pol za nekog od članova",IF(COUNTA($F32,$I32,$L32,$O32)&lt;VLOOKUP($A32,ekipe,2,FALSE),"Ekipa mora imati najmanje "&amp;VLOOKUP($A32,ekipe,2,FALSE)&amp;" člana",IF(COUNTA($F32,$I32,$L32,$O32)&gt;VLOOKUP($A32,ekipe,3,FALSE),"Ekipa može imati najviše "&amp;VLOOKUP($A32,ekipe,3,FALSE)&amp;" člana",IF($B32="","Nedostaje vrsta ekipe","prijava je kompletna")))))))))))</f>
        <v/>
      </c>
      <c r="R32">
        <f>IF($C32="","sve_ekipne","tdisc_"&amp;$C32)</f>
        <v/>
      </c>
    </row>
    <row r="33" spans="1:18">
      <c r="A33" s="5"/>
      <c r="B33" s="5"/>
      <c r="C33" s="7">
        <f>IF($E33="","",LOOKUP($E33,INDEX(grupe,0,1),INDEX(grupe,0,2)))</f>
        <v/>
      </c>
      <c r="D33" s="7">
        <f>IF($C33="","",VLOOKUP($C33,INDEX(grupe,0,2):INDEX(grupe,0,3),2,FALSE))</f>
        <v/>
      </c>
      <c r="E33" s="5"/>
      <c r="F33" s="5"/>
      <c r="G33" s="5"/>
      <c r="H33" s="5"/>
      <c r="I33" s="5"/>
      <c r="J33" s="5"/>
      <c r="K33" s="5"/>
      <c r="L33" s="5"/>
      <c r="M33" s="5"/>
      <c r="N33" s="5"/>
      <c r="O33" s="5"/>
      <c r="P33" s="5"/>
      <c r="Q33" s="8">
        <f>IF(COUNTA($A33:$B33,$E33,$H33,$K33,$N33,$F33,$I33,$L33,$O33)=0,"",IF($A33="","Nedostaje disciplina",IF($E33="","Nedostaje godište prvog člana",IF($C33="","Godište nije obuhvaćeno uzrasnom tabelom",IF(COUNTIF(INDIRECT("tdisc_"&amp;$C33),$A33)=0,"Disciplina nije moguća za uzrast "&amp;$C33,IF(IF($E33="",0,IF(LOOKUP($E33,INDEX(grupe,0,1),INDEX(grupe,0,2))=$C33,0,1))+IF($H33="",0,IF(LOOKUP($H33,INDEX(grupe,0,1),INDEX(grupe,0,2))=$C33,0,1))+IF($K33="",0,IF(LOOKUP($K33,INDEX(grupe,0,1),INDEX(grupe,0,2))=$C33,0,1))+IF($N33="",0,IF(LOOKUP($N33,INDEX(grupe,0,1),INDEX(grupe,0,2))=$C33,0,1))&gt;0,"Članovi ekipe nisu iz iste uzrasne grupe",IF(COUNTA($F33,$I33,$L33,$O33)&lt;&gt;COUNTA($E33,$H33,$K33,$N33),"Za svakog člana potrebni su i godište i ime",IF(IF(SUMPRODUCT(--ISERROR(FIND(MID($F33&amp;REPT("a",60),ROW($A$1:$A$60),1),"ABCDEFGHIJKLMNOPQRSTUVWXYZabcdefghijklmnopqrstuvwxyzČĆĐŠŽčćđšž -'")))=0,0,1)+IF(SUMPRODUCT(--ISERROR(FIND(MID($I33&amp;REPT("a",60),ROW($A$1:$A$60),1),"ABCDEFGHIJKLMNOPQRSTUVWXYZabcdefghijklmnopqrstuvwxyzČĆĐŠŽčćđšž -'")))=0,0,1)+IF(SUMPRODUCT(--ISERROR(FIND(MID($L33&amp;REPT("a",60),ROW($A$1:$A$60),1),"ABCDEFGHIJKLMNOPQRSTUVWXYZabcdefghijklmnopqrstuvwxyzČĆĐŠŽčćđšž -'")))=0,0,1)+IF(SUMPRODUCT(--ISERROR(FIND(MID($O33&amp;REPT("a",60),ROW($A$1:$A$60),1),"ABCDEFGHIJKLMNOPQRSTUVWXYZabcdefghijklmnopqrstuvwxyzČĆĐŠŽčćđšž -'")))=0,0,1)&gt;0,"Ime sadrži znakove koji nisu slova",IF(COUNTA($G33,$J33,$M33,$P33)&lt;&gt;COUNTA($F33,$I33,$L33,$O33),"Nedostaje pol za nekog od članova",IF(COUNTA($F33,$I33,$L33,$O33)&lt;VLOOKUP($A33,ekipe,2,FALSE),"Ekipa mora imati najmanje "&amp;VLOOKUP($A33,ekipe,2,FALSE)&amp;" člana",IF(COUNTA($F33,$I33,$L33,$O33)&gt;VLOOKUP($A33,ekipe,3,FALSE),"Ekipa može imati najviše "&amp;VLOOKUP($A33,ekipe,3,FALSE)&amp;" člana",IF($B33="","Nedostaje vrsta ekipe","prijava je kompletna")))))))))))</f>
        <v/>
      </c>
      <c r="R33">
        <f>IF($C33="","sve_ekipne","tdisc_"&amp;$C33)</f>
        <v/>
      </c>
    </row>
    <row r="34" spans="1:18">
      <c r="A34" s="5"/>
      <c r="B34" s="5"/>
      <c r="C34" s="7">
        <f>IF($E34="","",LOOKUP($E34,INDEX(grupe,0,1),INDEX(grupe,0,2)))</f>
        <v/>
      </c>
      <c r="D34" s="7">
        <f>IF($C34="","",VLOOKUP($C34,INDEX(grupe,0,2):INDEX(grupe,0,3),2,FALSE))</f>
        <v/>
      </c>
      <c r="E34" s="5"/>
      <c r="F34" s="5"/>
      <c r="G34" s="5"/>
      <c r="H34" s="5"/>
      <c r="I34" s="5"/>
      <c r="J34" s="5"/>
      <c r="K34" s="5"/>
      <c r="L34" s="5"/>
      <c r="M34" s="5"/>
      <c r="N34" s="5"/>
      <c r="O34" s="5"/>
      <c r="P34" s="5"/>
      <c r="Q34" s="8">
        <f>IF(COUNTA($A34:$B34,$E34,$H34,$K34,$N34,$F34,$I34,$L34,$O34)=0,"",IF($A34="","Nedostaje disciplina",IF($E34="","Nedostaje godište prvog člana",IF($C34="","Godište nije obuhvaćeno uzrasnom tabelom",IF(COUNTIF(INDIRECT("tdisc_"&amp;$C34),$A34)=0,"Disciplina nije moguća za uzrast "&amp;$C34,IF(IF($E34="",0,IF(LOOKUP($E34,INDEX(grupe,0,1),INDEX(grupe,0,2))=$C34,0,1))+IF($H34="",0,IF(LOOKUP($H34,INDEX(grupe,0,1),INDEX(grupe,0,2))=$C34,0,1))+IF($K34="",0,IF(LOOKUP($K34,INDEX(grupe,0,1),INDEX(grupe,0,2))=$C34,0,1))+IF($N34="",0,IF(LOOKUP($N34,INDEX(grupe,0,1),INDEX(grupe,0,2))=$C34,0,1))&gt;0,"Članovi ekipe nisu iz iste uzrasne grupe",IF(COUNTA($F34,$I34,$L34,$O34)&lt;&gt;COUNTA($E34,$H34,$K34,$N34),"Za svakog člana potrebni su i godište i ime",IF(IF(SUMPRODUCT(--ISERROR(FIND(MID($F34&amp;REPT("a",60),ROW($A$1:$A$60),1),"ABCDEFGHIJKLMNOPQRSTUVWXYZabcdefghijklmnopqrstuvwxyzČĆĐŠŽčćđšž -'")))=0,0,1)+IF(SUMPRODUCT(--ISERROR(FIND(MID($I34&amp;REPT("a",60),ROW($A$1:$A$60),1),"ABCDEFGHIJKLMNOPQRSTUVWXYZabcdefghijklmnopqrstuvwxyzČĆĐŠŽčćđšž -'")))=0,0,1)+IF(SUMPRODUCT(--ISERROR(FIND(MID($L34&amp;REPT("a",60),ROW($A$1:$A$60),1),"ABCDEFGHIJKLMNOPQRSTUVWXYZabcdefghijklmnopqrstuvwxyzČĆĐŠŽčćđšž -'")))=0,0,1)+IF(SUMPRODUCT(--ISERROR(FIND(MID($O34&amp;REPT("a",60),ROW($A$1:$A$60),1),"ABCDEFGHIJKLMNOPQRSTUVWXYZabcdefghijklmnopqrstuvwxyzČĆĐŠŽčćđšž -'")))=0,0,1)&gt;0,"Ime sadrži znakove koji nisu slova",IF(COUNTA($G34,$J34,$M34,$P34)&lt;&gt;COUNTA($F34,$I34,$L34,$O34),"Nedostaje pol za nekog od članova",IF(COUNTA($F34,$I34,$L34,$O34)&lt;VLOOKUP($A34,ekipe,2,FALSE),"Ekipa mora imati najmanje "&amp;VLOOKUP($A34,ekipe,2,FALSE)&amp;" člana",IF(COUNTA($F34,$I34,$L34,$O34)&gt;VLOOKUP($A34,ekipe,3,FALSE),"Ekipa može imati najviše "&amp;VLOOKUP($A34,ekipe,3,FALSE)&amp;" člana",IF($B34="","Nedostaje vrsta ekipe","prijava je kompletna")))))))))))</f>
        <v/>
      </c>
      <c r="R34">
        <f>IF($C34="","sve_ekipne","tdisc_"&amp;$C34)</f>
        <v/>
      </c>
    </row>
    <row r="35" spans="1:18">
      <c r="A35" s="5"/>
      <c r="B35" s="5"/>
      <c r="C35" s="7">
        <f>IF($E35="","",LOOKUP($E35,INDEX(grupe,0,1),INDEX(grupe,0,2)))</f>
        <v/>
      </c>
      <c r="D35" s="7">
        <f>IF($C35="","",VLOOKUP($C35,INDEX(grupe,0,2):INDEX(grupe,0,3),2,FALSE))</f>
        <v/>
      </c>
      <c r="E35" s="5"/>
      <c r="F35" s="5"/>
      <c r="G35" s="5"/>
      <c r="H35" s="5"/>
      <c r="I35" s="5"/>
      <c r="J35" s="5"/>
      <c r="K35" s="5"/>
      <c r="L35" s="5"/>
      <c r="M35" s="5"/>
      <c r="N35" s="5"/>
      <c r="O35" s="5"/>
      <c r="P35" s="5"/>
      <c r="Q35" s="8">
        <f>IF(COUNTA($A35:$B35,$E35,$H35,$K35,$N35,$F35,$I35,$L35,$O35)=0,"",IF($A35="","Nedostaje disciplina",IF($E35="","Nedostaje godište prvog člana",IF($C35="","Godište nije obuhvaćeno uzrasnom tabelom",IF(COUNTIF(INDIRECT("tdisc_"&amp;$C35),$A35)=0,"Disciplina nije moguća za uzrast "&amp;$C35,IF(IF($E35="",0,IF(LOOKUP($E35,INDEX(grupe,0,1),INDEX(grupe,0,2))=$C35,0,1))+IF($H35="",0,IF(LOOKUP($H35,INDEX(grupe,0,1),INDEX(grupe,0,2))=$C35,0,1))+IF($K35="",0,IF(LOOKUP($K35,INDEX(grupe,0,1),INDEX(grupe,0,2))=$C35,0,1))+IF($N35="",0,IF(LOOKUP($N35,INDEX(grupe,0,1),INDEX(grupe,0,2))=$C35,0,1))&gt;0,"Članovi ekipe nisu iz iste uzrasne grupe",IF(COUNTA($F35,$I35,$L35,$O35)&lt;&gt;COUNTA($E35,$H35,$K35,$N35),"Za svakog člana potrebni su i godište i ime",IF(IF(SUMPRODUCT(--ISERROR(FIND(MID($F35&amp;REPT("a",60),ROW($A$1:$A$60),1),"ABCDEFGHIJKLMNOPQRSTUVWXYZabcdefghijklmnopqrstuvwxyzČĆĐŠŽčćđšž -'")))=0,0,1)+IF(SUMPRODUCT(--ISERROR(FIND(MID($I35&amp;REPT("a",60),ROW($A$1:$A$60),1),"ABCDEFGHIJKLMNOPQRSTUVWXYZabcdefghijklmnopqrstuvwxyzČĆĐŠŽčćđšž -'")))=0,0,1)+IF(SUMPRODUCT(--ISERROR(FIND(MID($L35&amp;REPT("a",60),ROW($A$1:$A$60),1),"ABCDEFGHIJKLMNOPQRSTUVWXYZabcdefghijklmnopqrstuvwxyzČĆĐŠŽčćđšž -'")))=0,0,1)+IF(SUMPRODUCT(--ISERROR(FIND(MID($O35&amp;REPT("a",60),ROW($A$1:$A$60),1),"ABCDEFGHIJKLMNOPQRSTUVWXYZabcdefghijklmnopqrstuvwxyzČĆĐŠŽčćđšž -'")))=0,0,1)&gt;0,"Ime sadrži znakove koji nisu slova",IF(COUNTA($G35,$J35,$M35,$P35)&lt;&gt;COUNTA($F35,$I35,$L35,$O35),"Nedostaje pol za nekog od članova",IF(COUNTA($F35,$I35,$L35,$O35)&lt;VLOOKUP($A35,ekipe,2,FALSE),"Ekipa mora imati najmanje "&amp;VLOOKUP($A35,ekipe,2,FALSE)&amp;" člana",IF(COUNTA($F35,$I35,$L35,$O35)&gt;VLOOKUP($A35,ekipe,3,FALSE),"Ekipa može imati najviše "&amp;VLOOKUP($A35,ekipe,3,FALSE)&amp;" člana",IF($B35="","Nedostaje vrsta ekipe","prijava je kompletna")))))))))))</f>
        <v/>
      </c>
      <c r="R35">
        <f>IF($C35="","sve_ekipne","tdisc_"&amp;$C35)</f>
        <v/>
      </c>
    </row>
    <row r="36" spans="1:18">
      <c r="A36" s="5"/>
      <c r="B36" s="5"/>
      <c r="C36" s="7">
        <f>IF($E36="","",LOOKUP($E36,INDEX(grupe,0,1),INDEX(grupe,0,2)))</f>
        <v/>
      </c>
      <c r="D36" s="7">
        <f>IF($C36="","",VLOOKUP($C36,INDEX(grupe,0,2):INDEX(grupe,0,3),2,FALSE))</f>
        <v/>
      </c>
      <c r="E36" s="5"/>
      <c r="F36" s="5"/>
      <c r="G36" s="5"/>
      <c r="H36" s="5"/>
      <c r="I36" s="5"/>
      <c r="J36" s="5"/>
      <c r="K36" s="5"/>
      <c r="L36" s="5"/>
      <c r="M36" s="5"/>
      <c r="N36" s="5"/>
      <c r="O36" s="5"/>
      <c r="P36" s="5"/>
      <c r="Q36" s="8">
        <f>IF(COUNTA($A36:$B36,$E36,$H36,$K36,$N36,$F36,$I36,$L36,$O36)=0,"",IF($A36="","Nedostaje disciplina",IF($E36="","Nedostaje godište prvog člana",IF($C36="","Godište nije obuhvaćeno uzrasnom tabelom",IF(COUNTIF(INDIRECT("tdisc_"&amp;$C36),$A36)=0,"Disciplina nije moguća za uzrast "&amp;$C36,IF(IF($E36="",0,IF(LOOKUP($E36,INDEX(grupe,0,1),INDEX(grupe,0,2))=$C36,0,1))+IF($H36="",0,IF(LOOKUP($H36,INDEX(grupe,0,1),INDEX(grupe,0,2))=$C36,0,1))+IF($K36="",0,IF(LOOKUP($K36,INDEX(grupe,0,1),INDEX(grupe,0,2))=$C36,0,1))+IF($N36="",0,IF(LOOKUP($N36,INDEX(grupe,0,1),INDEX(grupe,0,2))=$C36,0,1))&gt;0,"Članovi ekipe nisu iz iste uzrasne grupe",IF(COUNTA($F36,$I36,$L36,$O36)&lt;&gt;COUNTA($E36,$H36,$K36,$N36),"Za svakog člana potrebni su i godište i ime",IF(IF(SUMPRODUCT(--ISERROR(FIND(MID($F36&amp;REPT("a",60),ROW($A$1:$A$60),1),"ABCDEFGHIJKLMNOPQRSTUVWXYZabcdefghijklmnopqrstuvwxyzČĆĐŠŽčćđšž -'")))=0,0,1)+IF(SUMPRODUCT(--ISERROR(FIND(MID($I36&amp;REPT("a",60),ROW($A$1:$A$60),1),"ABCDEFGHIJKLMNOPQRSTUVWXYZabcdefghijklmnopqrstuvwxyzČĆĐŠŽčćđšž -'")))=0,0,1)+IF(SUMPRODUCT(--ISERROR(FIND(MID($L36&amp;REPT("a",60),ROW($A$1:$A$60),1),"ABCDEFGHIJKLMNOPQRSTUVWXYZabcdefghijklmnopqrstuvwxyzČĆĐŠŽčćđšž -'")))=0,0,1)+IF(SUMPRODUCT(--ISERROR(FIND(MID($O36&amp;REPT("a",60),ROW($A$1:$A$60),1),"ABCDEFGHIJKLMNOPQRSTUVWXYZabcdefghijklmnopqrstuvwxyzČĆĐŠŽčćđšž -'")))=0,0,1)&gt;0,"Ime sadrži znakove koji nisu slova",IF(COUNTA($G36,$J36,$M36,$P36)&lt;&gt;COUNTA($F36,$I36,$L36,$O36),"Nedostaje pol za nekog od članova",IF(COUNTA($F36,$I36,$L36,$O36)&lt;VLOOKUP($A36,ekipe,2,FALSE),"Ekipa mora imati najmanje "&amp;VLOOKUP($A36,ekipe,2,FALSE)&amp;" člana",IF(COUNTA($F36,$I36,$L36,$O36)&gt;VLOOKUP($A36,ekipe,3,FALSE),"Ekipa može imati najviše "&amp;VLOOKUP($A36,ekipe,3,FALSE)&amp;" člana",IF($B36="","Nedostaje vrsta ekipe","prijava je kompletna")))))))))))</f>
        <v/>
      </c>
      <c r="R36">
        <f>IF($C36="","sve_ekipne","tdisc_"&amp;$C36)</f>
        <v/>
      </c>
    </row>
    <row r="37" spans="1:18">
      <c r="A37" s="5"/>
      <c r="B37" s="5"/>
      <c r="C37" s="7">
        <f>IF($E37="","",LOOKUP($E37,INDEX(grupe,0,1),INDEX(grupe,0,2)))</f>
        <v/>
      </c>
      <c r="D37" s="7">
        <f>IF($C37="","",VLOOKUP($C37,INDEX(grupe,0,2):INDEX(grupe,0,3),2,FALSE))</f>
        <v/>
      </c>
      <c r="E37" s="5"/>
      <c r="F37" s="5"/>
      <c r="G37" s="5"/>
      <c r="H37" s="5"/>
      <c r="I37" s="5"/>
      <c r="J37" s="5"/>
      <c r="K37" s="5"/>
      <c r="L37" s="5"/>
      <c r="M37" s="5"/>
      <c r="N37" s="5"/>
      <c r="O37" s="5"/>
      <c r="P37" s="5"/>
      <c r="Q37" s="8">
        <f>IF(COUNTA($A37:$B37,$E37,$H37,$K37,$N37,$F37,$I37,$L37,$O37)=0,"",IF($A37="","Nedostaje disciplina",IF($E37="","Nedostaje godište prvog člana",IF($C37="","Godište nije obuhvaćeno uzrasnom tabelom",IF(COUNTIF(INDIRECT("tdisc_"&amp;$C37),$A37)=0,"Disciplina nije moguća za uzrast "&amp;$C37,IF(IF($E37="",0,IF(LOOKUP($E37,INDEX(grupe,0,1),INDEX(grupe,0,2))=$C37,0,1))+IF($H37="",0,IF(LOOKUP($H37,INDEX(grupe,0,1),INDEX(grupe,0,2))=$C37,0,1))+IF($K37="",0,IF(LOOKUP($K37,INDEX(grupe,0,1),INDEX(grupe,0,2))=$C37,0,1))+IF($N37="",0,IF(LOOKUP($N37,INDEX(grupe,0,1),INDEX(grupe,0,2))=$C37,0,1))&gt;0,"Članovi ekipe nisu iz iste uzrasne grupe",IF(COUNTA($F37,$I37,$L37,$O37)&lt;&gt;COUNTA($E37,$H37,$K37,$N37),"Za svakog člana potrebni su i godište i ime",IF(IF(SUMPRODUCT(--ISERROR(FIND(MID($F37&amp;REPT("a",60),ROW($A$1:$A$60),1),"ABCDEFGHIJKLMNOPQRSTUVWXYZabcdefghijklmnopqrstuvwxyzČĆĐŠŽčćđšž -'")))=0,0,1)+IF(SUMPRODUCT(--ISERROR(FIND(MID($I37&amp;REPT("a",60),ROW($A$1:$A$60),1),"ABCDEFGHIJKLMNOPQRSTUVWXYZabcdefghijklmnopqrstuvwxyzČĆĐŠŽčćđšž -'")))=0,0,1)+IF(SUMPRODUCT(--ISERROR(FIND(MID($L37&amp;REPT("a",60),ROW($A$1:$A$60),1),"ABCDEFGHIJKLMNOPQRSTUVWXYZabcdefghijklmnopqrstuvwxyzČĆĐŠŽčćđšž -'")))=0,0,1)+IF(SUMPRODUCT(--ISERROR(FIND(MID($O37&amp;REPT("a",60),ROW($A$1:$A$60),1),"ABCDEFGHIJKLMNOPQRSTUVWXYZabcdefghijklmnopqrstuvwxyzČĆĐŠŽčćđšž -'")))=0,0,1)&gt;0,"Ime sadrži znakove koji nisu slova",IF(COUNTA($G37,$J37,$M37,$P37)&lt;&gt;COUNTA($F37,$I37,$L37,$O37),"Nedostaje pol za nekog od članova",IF(COUNTA($F37,$I37,$L37,$O37)&lt;VLOOKUP($A37,ekipe,2,FALSE),"Ekipa mora imati najmanje "&amp;VLOOKUP($A37,ekipe,2,FALSE)&amp;" člana",IF(COUNTA($F37,$I37,$L37,$O37)&gt;VLOOKUP($A37,ekipe,3,FALSE),"Ekipa može imati najviše "&amp;VLOOKUP($A37,ekipe,3,FALSE)&amp;" člana",IF($B37="","Nedostaje vrsta ekipe","prijava je kompletna")))))))))))</f>
        <v/>
      </c>
      <c r="R37">
        <f>IF($C37="","sve_ekipne","tdisc_"&amp;$C37)</f>
        <v/>
      </c>
    </row>
    <row r="38" spans="1:18">
      <c r="A38" s="5"/>
      <c r="B38" s="5"/>
      <c r="C38" s="7">
        <f>IF($E38="","",LOOKUP($E38,INDEX(grupe,0,1),INDEX(grupe,0,2)))</f>
        <v/>
      </c>
      <c r="D38" s="7">
        <f>IF($C38="","",VLOOKUP($C38,INDEX(grupe,0,2):INDEX(grupe,0,3),2,FALSE))</f>
        <v/>
      </c>
      <c r="E38" s="5"/>
      <c r="F38" s="5"/>
      <c r="G38" s="5"/>
      <c r="H38" s="5"/>
      <c r="I38" s="5"/>
      <c r="J38" s="5"/>
      <c r="K38" s="5"/>
      <c r="L38" s="5"/>
      <c r="M38" s="5"/>
      <c r="N38" s="5"/>
      <c r="O38" s="5"/>
      <c r="P38" s="5"/>
      <c r="Q38" s="8">
        <f>IF(COUNTA($A38:$B38,$E38,$H38,$K38,$N38,$F38,$I38,$L38,$O38)=0,"",IF($A38="","Nedostaje disciplina",IF($E38="","Nedostaje godište prvog člana",IF($C38="","Godište nije obuhvaćeno uzrasnom tabelom",IF(COUNTIF(INDIRECT("tdisc_"&amp;$C38),$A38)=0,"Disciplina nije moguća za uzrast "&amp;$C38,IF(IF($E38="",0,IF(LOOKUP($E38,INDEX(grupe,0,1),INDEX(grupe,0,2))=$C38,0,1))+IF($H38="",0,IF(LOOKUP($H38,INDEX(grupe,0,1),INDEX(grupe,0,2))=$C38,0,1))+IF($K38="",0,IF(LOOKUP($K38,INDEX(grupe,0,1),INDEX(grupe,0,2))=$C38,0,1))+IF($N38="",0,IF(LOOKUP($N38,INDEX(grupe,0,1),INDEX(grupe,0,2))=$C38,0,1))&gt;0,"Članovi ekipe nisu iz iste uzrasne grupe",IF(COUNTA($F38,$I38,$L38,$O38)&lt;&gt;COUNTA($E38,$H38,$K38,$N38),"Za svakog člana potrebni su i godište i ime",IF(IF(SUMPRODUCT(--ISERROR(FIND(MID($F38&amp;REPT("a",60),ROW($A$1:$A$60),1),"ABCDEFGHIJKLMNOPQRSTUVWXYZabcdefghijklmnopqrstuvwxyzČĆĐŠŽčćđšž -'")))=0,0,1)+IF(SUMPRODUCT(--ISERROR(FIND(MID($I38&amp;REPT("a",60),ROW($A$1:$A$60),1),"ABCDEFGHIJKLMNOPQRSTUVWXYZabcdefghijklmnopqrstuvwxyzČĆĐŠŽčćđšž -'")))=0,0,1)+IF(SUMPRODUCT(--ISERROR(FIND(MID($L38&amp;REPT("a",60),ROW($A$1:$A$60),1),"ABCDEFGHIJKLMNOPQRSTUVWXYZabcdefghijklmnopqrstuvwxyzČĆĐŠŽčćđšž -'")))=0,0,1)+IF(SUMPRODUCT(--ISERROR(FIND(MID($O38&amp;REPT("a",60),ROW($A$1:$A$60),1),"ABCDEFGHIJKLMNOPQRSTUVWXYZabcdefghijklmnopqrstuvwxyzČĆĐŠŽčćđšž -'")))=0,0,1)&gt;0,"Ime sadrži znakove koji nisu slova",IF(COUNTA($G38,$J38,$M38,$P38)&lt;&gt;COUNTA($F38,$I38,$L38,$O38),"Nedostaje pol za nekog od članova",IF(COUNTA($F38,$I38,$L38,$O38)&lt;VLOOKUP($A38,ekipe,2,FALSE),"Ekipa mora imati najmanje "&amp;VLOOKUP($A38,ekipe,2,FALSE)&amp;" člana",IF(COUNTA($F38,$I38,$L38,$O38)&gt;VLOOKUP($A38,ekipe,3,FALSE),"Ekipa može imati najviše "&amp;VLOOKUP($A38,ekipe,3,FALSE)&amp;" člana",IF($B38="","Nedostaje vrsta ekipe","prijava je kompletna")))))))))))</f>
        <v/>
      </c>
      <c r="R38">
        <f>IF($C38="","sve_ekipne","tdisc_"&amp;$C38)</f>
        <v/>
      </c>
    </row>
    <row r="39" spans="1:18">
      <c r="A39" s="5"/>
      <c r="B39" s="5"/>
      <c r="C39" s="7">
        <f>IF($E39="","",LOOKUP($E39,INDEX(grupe,0,1),INDEX(grupe,0,2)))</f>
        <v/>
      </c>
      <c r="D39" s="7">
        <f>IF($C39="","",VLOOKUP($C39,INDEX(grupe,0,2):INDEX(grupe,0,3),2,FALSE))</f>
        <v/>
      </c>
      <c r="E39" s="5"/>
      <c r="F39" s="5"/>
      <c r="G39" s="5"/>
      <c r="H39" s="5"/>
      <c r="I39" s="5"/>
      <c r="J39" s="5"/>
      <c r="K39" s="5"/>
      <c r="L39" s="5"/>
      <c r="M39" s="5"/>
      <c r="N39" s="5"/>
      <c r="O39" s="5"/>
      <c r="P39" s="5"/>
      <c r="Q39" s="8">
        <f>IF(COUNTA($A39:$B39,$E39,$H39,$K39,$N39,$F39,$I39,$L39,$O39)=0,"",IF($A39="","Nedostaje disciplina",IF($E39="","Nedostaje godište prvog člana",IF($C39="","Godište nije obuhvaćeno uzrasnom tabelom",IF(COUNTIF(INDIRECT("tdisc_"&amp;$C39),$A39)=0,"Disciplina nije moguća za uzrast "&amp;$C39,IF(IF($E39="",0,IF(LOOKUP($E39,INDEX(grupe,0,1),INDEX(grupe,0,2))=$C39,0,1))+IF($H39="",0,IF(LOOKUP($H39,INDEX(grupe,0,1),INDEX(grupe,0,2))=$C39,0,1))+IF($K39="",0,IF(LOOKUP($K39,INDEX(grupe,0,1),INDEX(grupe,0,2))=$C39,0,1))+IF($N39="",0,IF(LOOKUP($N39,INDEX(grupe,0,1),INDEX(grupe,0,2))=$C39,0,1))&gt;0,"Članovi ekipe nisu iz iste uzrasne grupe",IF(COUNTA($F39,$I39,$L39,$O39)&lt;&gt;COUNTA($E39,$H39,$K39,$N39),"Za svakog člana potrebni su i godište i ime",IF(IF(SUMPRODUCT(--ISERROR(FIND(MID($F39&amp;REPT("a",60),ROW($A$1:$A$60),1),"ABCDEFGHIJKLMNOPQRSTUVWXYZabcdefghijklmnopqrstuvwxyzČĆĐŠŽčćđšž -'")))=0,0,1)+IF(SUMPRODUCT(--ISERROR(FIND(MID($I39&amp;REPT("a",60),ROW($A$1:$A$60),1),"ABCDEFGHIJKLMNOPQRSTUVWXYZabcdefghijklmnopqrstuvwxyzČĆĐŠŽčćđšž -'")))=0,0,1)+IF(SUMPRODUCT(--ISERROR(FIND(MID($L39&amp;REPT("a",60),ROW($A$1:$A$60),1),"ABCDEFGHIJKLMNOPQRSTUVWXYZabcdefghijklmnopqrstuvwxyzČĆĐŠŽčćđšž -'")))=0,0,1)+IF(SUMPRODUCT(--ISERROR(FIND(MID($O39&amp;REPT("a",60),ROW($A$1:$A$60),1),"ABCDEFGHIJKLMNOPQRSTUVWXYZabcdefghijklmnopqrstuvwxyzČĆĐŠŽčćđšž -'")))=0,0,1)&gt;0,"Ime sadrži znakove koji nisu slova",IF(COUNTA($G39,$J39,$M39,$P39)&lt;&gt;COUNTA($F39,$I39,$L39,$O39),"Nedostaje pol za nekog od članova",IF(COUNTA($F39,$I39,$L39,$O39)&lt;VLOOKUP($A39,ekipe,2,FALSE),"Ekipa mora imati najmanje "&amp;VLOOKUP($A39,ekipe,2,FALSE)&amp;" člana",IF(COUNTA($F39,$I39,$L39,$O39)&gt;VLOOKUP($A39,ekipe,3,FALSE),"Ekipa može imati najviše "&amp;VLOOKUP($A39,ekipe,3,FALSE)&amp;" člana",IF($B39="","Nedostaje vrsta ekipe","prijava je kompletna")))))))))))</f>
        <v/>
      </c>
      <c r="R39">
        <f>IF($C39="","sve_ekipne","tdisc_"&amp;$C39)</f>
        <v/>
      </c>
    </row>
    <row r="40" spans="1:18">
      <c r="A40" s="5"/>
      <c r="B40" s="5"/>
      <c r="C40" s="7">
        <f>IF($E40="","",LOOKUP($E40,INDEX(grupe,0,1),INDEX(grupe,0,2)))</f>
        <v/>
      </c>
      <c r="D40" s="7">
        <f>IF($C40="","",VLOOKUP($C40,INDEX(grupe,0,2):INDEX(grupe,0,3),2,FALSE))</f>
        <v/>
      </c>
      <c r="E40" s="5"/>
      <c r="F40" s="5"/>
      <c r="G40" s="5"/>
      <c r="H40" s="5"/>
      <c r="I40" s="5"/>
      <c r="J40" s="5"/>
      <c r="K40" s="5"/>
      <c r="L40" s="5"/>
      <c r="M40" s="5"/>
      <c r="N40" s="5"/>
      <c r="O40" s="5"/>
      <c r="P40" s="5"/>
      <c r="Q40" s="8">
        <f>IF(COUNTA($A40:$B40,$E40,$H40,$K40,$N40,$F40,$I40,$L40,$O40)=0,"",IF($A40="","Nedostaje disciplina",IF($E40="","Nedostaje godište prvog člana",IF($C40="","Godište nije obuhvaćeno uzrasnom tabelom",IF(COUNTIF(INDIRECT("tdisc_"&amp;$C40),$A40)=0,"Disciplina nije moguća za uzrast "&amp;$C40,IF(IF($E40="",0,IF(LOOKUP($E40,INDEX(grupe,0,1),INDEX(grupe,0,2))=$C40,0,1))+IF($H40="",0,IF(LOOKUP($H40,INDEX(grupe,0,1),INDEX(grupe,0,2))=$C40,0,1))+IF($K40="",0,IF(LOOKUP($K40,INDEX(grupe,0,1),INDEX(grupe,0,2))=$C40,0,1))+IF($N40="",0,IF(LOOKUP($N40,INDEX(grupe,0,1),INDEX(grupe,0,2))=$C40,0,1))&gt;0,"Članovi ekipe nisu iz iste uzrasne grupe",IF(COUNTA($F40,$I40,$L40,$O40)&lt;&gt;COUNTA($E40,$H40,$K40,$N40),"Za svakog člana potrebni su i godište i ime",IF(IF(SUMPRODUCT(--ISERROR(FIND(MID($F40&amp;REPT("a",60),ROW($A$1:$A$60),1),"ABCDEFGHIJKLMNOPQRSTUVWXYZabcdefghijklmnopqrstuvwxyzČĆĐŠŽčćđšž -'")))=0,0,1)+IF(SUMPRODUCT(--ISERROR(FIND(MID($I40&amp;REPT("a",60),ROW($A$1:$A$60),1),"ABCDEFGHIJKLMNOPQRSTUVWXYZabcdefghijklmnopqrstuvwxyzČĆĐŠŽčćđšž -'")))=0,0,1)+IF(SUMPRODUCT(--ISERROR(FIND(MID($L40&amp;REPT("a",60),ROW($A$1:$A$60),1),"ABCDEFGHIJKLMNOPQRSTUVWXYZabcdefghijklmnopqrstuvwxyzČĆĐŠŽčćđšž -'")))=0,0,1)+IF(SUMPRODUCT(--ISERROR(FIND(MID($O40&amp;REPT("a",60),ROW($A$1:$A$60),1),"ABCDEFGHIJKLMNOPQRSTUVWXYZabcdefghijklmnopqrstuvwxyzČĆĐŠŽčćđšž -'")))=0,0,1)&gt;0,"Ime sadrži znakove koji nisu slova",IF(COUNTA($G40,$J40,$M40,$P40)&lt;&gt;COUNTA($F40,$I40,$L40,$O40),"Nedostaje pol za nekog od članova",IF(COUNTA($F40,$I40,$L40,$O40)&lt;VLOOKUP($A40,ekipe,2,FALSE),"Ekipa mora imati najmanje "&amp;VLOOKUP($A40,ekipe,2,FALSE)&amp;" člana",IF(COUNTA($F40,$I40,$L40,$O40)&gt;VLOOKUP($A40,ekipe,3,FALSE),"Ekipa može imati najviše "&amp;VLOOKUP($A40,ekipe,3,FALSE)&amp;" člana",IF($B40="","Nedostaje vrsta ekipe","prijava je kompletna")))))))))))</f>
        <v/>
      </c>
      <c r="R40">
        <f>IF($C40="","sve_ekipne","tdisc_"&amp;$C40)</f>
        <v/>
      </c>
    </row>
    <row r="41" spans="1:18">
      <c r="A41" s="5"/>
      <c r="B41" s="5"/>
      <c r="C41" s="7">
        <f>IF($E41="","",LOOKUP($E41,INDEX(grupe,0,1),INDEX(grupe,0,2)))</f>
        <v/>
      </c>
      <c r="D41" s="7">
        <f>IF($C41="","",VLOOKUP($C41,INDEX(grupe,0,2):INDEX(grupe,0,3),2,FALSE))</f>
        <v/>
      </c>
      <c r="E41" s="5"/>
      <c r="F41" s="5"/>
      <c r="G41" s="5"/>
      <c r="H41" s="5"/>
      <c r="I41" s="5"/>
      <c r="J41" s="5"/>
      <c r="K41" s="5"/>
      <c r="L41" s="5"/>
      <c r="M41" s="5"/>
      <c r="N41" s="5"/>
      <c r="O41" s="5"/>
      <c r="P41" s="5"/>
      <c r="Q41" s="8">
        <f>IF(COUNTA($A41:$B41,$E41,$H41,$K41,$N41,$F41,$I41,$L41,$O41)=0,"",IF($A41="","Nedostaje disciplina",IF($E41="","Nedostaje godište prvog člana",IF($C41="","Godište nije obuhvaćeno uzrasnom tabelom",IF(COUNTIF(INDIRECT("tdisc_"&amp;$C41),$A41)=0,"Disciplina nije moguća za uzrast "&amp;$C41,IF(IF($E41="",0,IF(LOOKUP($E41,INDEX(grupe,0,1),INDEX(grupe,0,2))=$C41,0,1))+IF($H41="",0,IF(LOOKUP($H41,INDEX(grupe,0,1),INDEX(grupe,0,2))=$C41,0,1))+IF($K41="",0,IF(LOOKUP($K41,INDEX(grupe,0,1),INDEX(grupe,0,2))=$C41,0,1))+IF($N41="",0,IF(LOOKUP($N41,INDEX(grupe,0,1),INDEX(grupe,0,2))=$C41,0,1))&gt;0,"Članovi ekipe nisu iz iste uzrasne grupe",IF(COUNTA($F41,$I41,$L41,$O41)&lt;&gt;COUNTA($E41,$H41,$K41,$N41),"Za svakog člana potrebni su i godište i ime",IF(IF(SUMPRODUCT(--ISERROR(FIND(MID($F41&amp;REPT("a",60),ROW($A$1:$A$60),1),"ABCDEFGHIJKLMNOPQRSTUVWXYZabcdefghijklmnopqrstuvwxyzČĆĐŠŽčćđšž -'")))=0,0,1)+IF(SUMPRODUCT(--ISERROR(FIND(MID($I41&amp;REPT("a",60),ROW($A$1:$A$60),1),"ABCDEFGHIJKLMNOPQRSTUVWXYZabcdefghijklmnopqrstuvwxyzČĆĐŠŽčćđšž -'")))=0,0,1)+IF(SUMPRODUCT(--ISERROR(FIND(MID($L41&amp;REPT("a",60),ROW($A$1:$A$60),1),"ABCDEFGHIJKLMNOPQRSTUVWXYZabcdefghijklmnopqrstuvwxyzČĆĐŠŽčćđšž -'")))=0,0,1)+IF(SUMPRODUCT(--ISERROR(FIND(MID($O41&amp;REPT("a",60),ROW($A$1:$A$60),1),"ABCDEFGHIJKLMNOPQRSTUVWXYZabcdefghijklmnopqrstuvwxyzČĆĐŠŽčćđšž -'")))=0,0,1)&gt;0,"Ime sadrži znakove koji nisu slova",IF(COUNTA($G41,$J41,$M41,$P41)&lt;&gt;COUNTA($F41,$I41,$L41,$O41),"Nedostaje pol za nekog od članova",IF(COUNTA($F41,$I41,$L41,$O41)&lt;VLOOKUP($A41,ekipe,2,FALSE),"Ekipa mora imati najmanje "&amp;VLOOKUP($A41,ekipe,2,FALSE)&amp;" člana",IF(COUNTA($F41,$I41,$L41,$O41)&gt;VLOOKUP($A41,ekipe,3,FALSE),"Ekipa može imati najviše "&amp;VLOOKUP($A41,ekipe,3,FALSE)&amp;" člana",IF($B41="","Nedostaje vrsta ekipe","prijava je kompletna")))))))))))</f>
        <v/>
      </c>
      <c r="R41">
        <f>IF($C41="","sve_ekipne","tdisc_"&amp;$C41)</f>
        <v/>
      </c>
    </row>
    <row r="42" spans="1:18">
      <c r="A42" s="5"/>
      <c r="B42" s="5"/>
      <c r="C42" s="7">
        <f>IF($E42="","",LOOKUP($E42,INDEX(grupe,0,1),INDEX(grupe,0,2)))</f>
        <v/>
      </c>
      <c r="D42" s="7">
        <f>IF($C42="","",VLOOKUP($C42,INDEX(grupe,0,2):INDEX(grupe,0,3),2,FALSE))</f>
        <v/>
      </c>
      <c r="E42" s="5"/>
      <c r="F42" s="5"/>
      <c r="G42" s="5"/>
      <c r="H42" s="5"/>
      <c r="I42" s="5"/>
      <c r="J42" s="5"/>
      <c r="K42" s="5"/>
      <c r="L42" s="5"/>
      <c r="M42" s="5"/>
      <c r="N42" s="5"/>
      <c r="O42" s="5"/>
      <c r="P42" s="5"/>
      <c r="Q42" s="8">
        <f>IF(COUNTA($A42:$B42,$E42,$H42,$K42,$N42,$F42,$I42,$L42,$O42)=0,"",IF($A42="","Nedostaje disciplina",IF($E42="","Nedostaje godište prvog člana",IF($C42="","Godište nije obuhvaćeno uzrasnom tabelom",IF(COUNTIF(INDIRECT("tdisc_"&amp;$C42),$A42)=0,"Disciplina nije moguća za uzrast "&amp;$C42,IF(IF($E42="",0,IF(LOOKUP($E42,INDEX(grupe,0,1),INDEX(grupe,0,2))=$C42,0,1))+IF($H42="",0,IF(LOOKUP($H42,INDEX(grupe,0,1),INDEX(grupe,0,2))=$C42,0,1))+IF($K42="",0,IF(LOOKUP($K42,INDEX(grupe,0,1),INDEX(grupe,0,2))=$C42,0,1))+IF($N42="",0,IF(LOOKUP($N42,INDEX(grupe,0,1),INDEX(grupe,0,2))=$C42,0,1))&gt;0,"Članovi ekipe nisu iz iste uzrasne grupe",IF(COUNTA($F42,$I42,$L42,$O42)&lt;&gt;COUNTA($E42,$H42,$K42,$N42),"Za svakog člana potrebni su i godište i ime",IF(IF(SUMPRODUCT(--ISERROR(FIND(MID($F42&amp;REPT("a",60),ROW($A$1:$A$60),1),"ABCDEFGHIJKLMNOPQRSTUVWXYZabcdefghijklmnopqrstuvwxyzČĆĐŠŽčćđšž -'")))=0,0,1)+IF(SUMPRODUCT(--ISERROR(FIND(MID($I42&amp;REPT("a",60),ROW($A$1:$A$60),1),"ABCDEFGHIJKLMNOPQRSTUVWXYZabcdefghijklmnopqrstuvwxyzČĆĐŠŽčćđšž -'")))=0,0,1)+IF(SUMPRODUCT(--ISERROR(FIND(MID($L42&amp;REPT("a",60),ROW($A$1:$A$60),1),"ABCDEFGHIJKLMNOPQRSTUVWXYZabcdefghijklmnopqrstuvwxyzČĆĐŠŽčćđšž -'")))=0,0,1)+IF(SUMPRODUCT(--ISERROR(FIND(MID($O42&amp;REPT("a",60),ROW($A$1:$A$60),1),"ABCDEFGHIJKLMNOPQRSTUVWXYZabcdefghijklmnopqrstuvwxyzČĆĐŠŽčćđšž -'")))=0,0,1)&gt;0,"Ime sadrži znakove koji nisu slova",IF(COUNTA($G42,$J42,$M42,$P42)&lt;&gt;COUNTA($F42,$I42,$L42,$O42),"Nedostaje pol za nekog od članova",IF(COUNTA($F42,$I42,$L42,$O42)&lt;VLOOKUP($A42,ekipe,2,FALSE),"Ekipa mora imati najmanje "&amp;VLOOKUP($A42,ekipe,2,FALSE)&amp;" člana",IF(COUNTA($F42,$I42,$L42,$O42)&gt;VLOOKUP($A42,ekipe,3,FALSE),"Ekipa može imati najviše "&amp;VLOOKUP($A42,ekipe,3,FALSE)&amp;" člana",IF($B42="","Nedostaje vrsta ekipe","prijava je kompletna")))))))))))</f>
        <v/>
      </c>
      <c r="R42">
        <f>IF($C42="","sve_ekipne","tdisc_"&amp;$C42)</f>
        <v/>
      </c>
    </row>
    <row r="43" spans="1:18">
      <c r="A43" s="5"/>
      <c r="B43" s="5"/>
      <c r="C43" s="7">
        <f>IF($E43="","",LOOKUP($E43,INDEX(grupe,0,1),INDEX(grupe,0,2)))</f>
        <v/>
      </c>
      <c r="D43" s="7">
        <f>IF($C43="","",VLOOKUP($C43,INDEX(grupe,0,2):INDEX(grupe,0,3),2,FALSE))</f>
        <v/>
      </c>
      <c r="E43" s="5"/>
      <c r="F43" s="5"/>
      <c r="G43" s="5"/>
      <c r="H43" s="5"/>
      <c r="I43" s="5"/>
      <c r="J43" s="5"/>
      <c r="K43" s="5"/>
      <c r="L43" s="5"/>
      <c r="M43" s="5"/>
      <c r="N43" s="5"/>
      <c r="O43" s="5"/>
      <c r="P43" s="5"/>
      <c r="Q43" s="8">
        <f>IF(COUNTA($A43:$B43,$E43,$H43,$K43,$N43,$F43,$I43,$L43,$O43)=0,"",IF($A43="","Nedostaje disciplina",IF($E43="","Nedostaje godište prvog člana",IF($C43="","Godište nije obuhvaćeno uzrasnom tabelom",IF(COUNTIF(INDIRECT("tdisc_"&amp;$C43),$A43)=0,"Disciplina nije moguća za uzrast "&amp;$C43,IF(IF($E43="",0,IF(LOOKUP($E43,INDEX(grupe,0,1),INDEX(grupe,0,2))=$C43,0,1))+IF($H43="",0,IF(LOOKUP($H43,INDEX(grupe,0,1),INDEX(grupe,0,2))=$C43,0,1))+IF($K43="",0,IF(LOOKUP($K43,INDEX(grupe,0,1),INDEX(grupe,0,2))=$C43,0,1))+IF($N43="",0,IF(LOOKUP($N43,INDEX(grupe,0,1),INDEX(grupe,0,2))=$C43,0,1))&gt;0,"Članovi ekipe nisu iz iste uzrasne grupe",IF(COUNTA($F43,$I43,$L43,$O43)&lt;&gt;COUNTA($E43,$H43,$K43,$N43),"Za svakog člana potrebni su i godište i ime",IF(IF(SUMPRODUCT(--ISERROR(FIND(MID($F43&amp;REPT("a",60),ROW($A$1:$A$60),1),"ABCDEFGHIJKLMNOPQRSTUVWXYZabcdefghijklmnopqrstuvwxyzČĆĐŠŽčćđšž -'")))=0,0,1)+IF(SUMPRODUCT(--ISERROR(FIND(MID($I43&amp;REPT("a",60),ROW($A$1:$A$60),1),"ABCDEFGHIJKLMNOPQRSTUVWXYZabcdefghijklmnopqrstuvwxyzČĆĐŠŽčćđšž -'")))=0,0,1)+IF(SUMPRODUCT(--ISERROR(FIND(MID($L43&amp;REPT("a",60),ROW($A$1:$A$60),1),"ABCDEFGHIJKLMNOPQRSTUVWXYZabcdefghijklmnopqrstuvwxyzČĆĐŠŽčćđšž -'")))=0,0,1)+IF(SUMPRODUCT(--ISERROR(FIND(MID($O43&amp;REPT("a",60),ROW($A$1:$A$60),1),"ABCDEFGHIJKLMNOPQRSTUVWXYZabcdefghijklmnopqrstuvwxyzČĆĐŠŽčćđšž -'")))=0,0,1)&gt;0,"Ime sadrži znakove koji nisu slova",IF(COUNTA($G43,$J43,$M43,$P43)&lt;&gt;COUNTA($F43,$I43,$L43,$O43),"Nedostaje pol za nekog od članova",IF(COUNTA($F43,$I43,$L43,$O43)&lt;VLOOKUP($A43,ekipe,2,FALSE),"Ekipa mora imati najmanje "&amp;VLOOKUP($A43,ekipe,2,FALSE)&amp;" člana",IF(COUNTA($F43,$I43,$L43,$O43)&gt;VLOOKUP($A43,ekipe,3,FALSE),"Ekipa može imati najviše "&amp;VLOOKUP($A43,ekipe,3,FALSE)&amp;" člana",IF($B43="","Nedostaje vrsta ekipe","prijava je kompletna")))))))))))</f>
        <v/>
      </c>
      <c r="R43">
        <f>IF($C43="","sve_ekipne","tdisc_"&amp;$C43)</f>
        <v/>
      </c>
    </row>
    <row r="44" spans="1:18">
      <c r="A44" s="5"/>
      <c r="B44" s="5"/>
      <c r="C44" s="7">
        <f>IF($E44="","",LOOKUP($E44,INDEX(grupe,0,1),INDEX(grupe,0,2)))</f>
        <v/>
      </c>
      <c r="D44" s="7">
        <f>IF($C44="","",VLOOKUP($C44,INDEX(grupe,0,2):INDEX(grupe,0,3),2,FALSE))</f>
        <v/>
      </c>
      <c r="E44" s="5"/>
      <c r="F44" s="5"/>
      <c r="G44" s="5"/>
      <c r="H44" s="5"/>
      <c r="I44" s="5"/>
      <c r="J44" s="5"/>
      <c r="K44" s="5"/>
      <c r="L44" s="5"/>
      <c r="M44" s="5"/>
      <c r="N44" s="5"/>
      <c r="O44" s="5"/>
      <c r="P44" s="5"/>
      <c r="Q44" s="8">
        <f>IF(COUNTA($A44:$B44,$E44,$H44,$K44,$N44,$F44,$I44,$L44,$O44)=0,"",IF($A44="","Nedostaje disciplina",IF($E44="","Nedostaje godište prvog člana",IF($C44="","Godište nije obuhvaćeno uzrasnom tabelom",IF(COUNTIF(INDIRECT("tdisc_"&amp;$C44),$A44)=0,"Disciplina nije moguća za uzrast "&amp;$C44,IF(IF($E44="",0,IF(LOOKUP($E44,INDEX(grupe,0,1),INDEX(grupe,0,2))=$C44,0,1))+IF($H44="",0,IF(LOOKUP($H44,INDEX(grupe,0,1),INDEX(grupe,0,2))=$C44,0,1))+IF($K44="",0,IF(LOOKUP($K44,INDEX(grupe,0,1),INDEX(grupe,0,2))=$C44,0,1))+IF($N44="",0,IF(LOOKUP($N44,INDEX(grupe,0,1),INDEX(grupe,0,2))=$C44,0,1))&gt;0,"Članovi ekipe nisu iz iste uzrasne grupe",IF(COUNTA($F44,$I44,$L44,$O44)&lt;&gt;COUNTA($E44,$H44,$K44,$N44),"Za svakog člana potrebni su i godište i ime",IF(IF(SUMPRODUCT(--ISERROR(FIND(MID($F44&amp;REPT("a",60),ROW($A$1:$A$60),1),"ABCDEFGHIJKLMNOPQRSTUVWXYZabcdefghijklmnopqrstuvwxyzČĆĐŠŽčćđšž -'")))=0,0,1)+IF(SUMPRODUCT(--ISERROR(FIND(MID($I44&amp;REPT("a",60),ROW($A$1:$A$60),1),"ABCDEFGHIJKLMNOPQRSTUVWXYZabcdefghijklmnopqrstuvwxyzČĆĐŠŽčćđšž -'")))=0,0,1)+IF(SUMPRODUCT(--ISERROR(FIND(MID($L44&amp;REPT("a",60),ROW($A$1:$A$60),1),"ABCDEFGHIJKLMNOPQRSTUVWXYZabcdefghijklmnopqrstuvwxyzČĆĐŠŽčćđšž -'")))=0,0,1)+IF(SUMPRODUCT(--ISERROR(FIND(MID($O44&amp;REPT("a",60),ROW($A$1:$A$60),1),"ABCDEFGHIJKLMNOPQRSTUVWXYZabcdefghijklmnopqrstuvwxyzČĆĐŠŽčćđšž -'")))=0,0,1)&gt;0,"Ime sadrži znakove koji nisu slova",IF(COUNTA($G44,$J44,$M44,$P44)&lt;&gt;COUNTA($F44,$I44,$L44,$O44),"Nedostaje pol za nekog od članova",IF(COUNTA($F44,$I44,$L44,$O44)&lt;VLOOKUP($A44,ekipe,2,FALSE),"Ekipa mora imati najmanje "&amp;VLOOKUP($A44,ekipe,2,FALSE)&amp;" člana",IF(COUNTA($F44,$I44,$L44,$O44)&gt;VLOOKUP($A44,ekipe,3,FALSE),"Ekipa može imati najviše "&amp;VLOOKUP($A44,ekipe,3,FALSE)&amp;" člana",IF($B44="","Nedostaje vrsta ekipe","prijava je kompletna")))))))))))</f>
        <v/>
      </c>
      <c r="R44">
        <f>IF($C44="","sve_ekipne","tdisc_"&amp;$C44)</f>
        <v/>
      </c>
    </row>
    <row r="45" spans="1:18">
      <c r="A45" s="5"/>
      <c r="B45" s="5"/>
      <c r="C45" s="7">
        <f>IF($E45="","",LOOKUP($E45,INDEX(grupe,0,1),INDEX(grupe,0,2)))</f>
        <v/>
      </c>
      <c r="D45" s="7">
        <f>IF($C45="","",VLOOKUP($C45,INDEX(grupe,0,2):INDEX(grupe,0,3),2,FALSE))</f>
        <v/>
      </c>
      <c r="E45" s="5"/>
      <c r="F45" s="5"/>
      <c r="G45" s="5"/>
      <c r="H45" s="5"/>
      <c r="I45" s="5"/>
      <c r="J45" s="5"/>
      <c r="K45" s="5"/>
      <c r="L45" s="5"/>
      <c r="M45" s="5"/>
      <c r="N45" s="5"/>
      <c r="O45" s="5"/>
      <c r="P45" s="5"/>
      <c r="Q45" s="8">
        <f>IF(COUNTA($A45:$B45,$E45,$H45,$K45,$N45,$F45,$I45,$L45,$O45)=0,"",IF($A45="","Nedostaje disciplina",IF($E45="","Nedostaje godište prvog člana",IF($C45="","Godište nije obuhvaćeno uzrasnom tabelom",IF(COUNTIF(INDIRECT("tdisc_"&amp;$C45),$A45)=0,"Disciplina nije moguća za uzrast "&amp;$C45,IF(IF($E45="",0,IF(LOOKUP($E45,INDEX(grupe,0,1),INDEX(grupe,0,2))=$C45,0,1))+IF($H45="",0,IF(LOOKUP($H45,INDEX(grupe,0,1),INDEX(grupe,0,2))=$C45,0,1))+IF($K45="",0,IF(LOOKUP($K45,INDEX(grupe,0,1),INDEX(grupe,0,2))=$C45,0,1))+IF($N45="",0,IF(LOOKUP($N45,INDEX(grupe,0,1),INDEX(grupe,0,2))=$C45,0,1))&gt;0,"Članovi ekipe nisu iz iste uzrasne grupe",IF(COUNTA($F45,$I45,$L45,$O45)&lt;&gt;COUNTA($E45,$H45,$K45,$N45),"Za svakog člana potrebni su i godište i ime",IF(IF(SUMPRODUCT(--ISERROR(FIND(MID($F45&amp;REPT("a",60),ROW($A$1:$A$60),1),"ABCDEFGHIJKLMNOPQRSTUVWXYZabcdefghijklmnopqrstuvwxyzČĆĐŠŽčćđšž -'")))=0,0,1)+IF(SUMPRODUCT(--ISERROR(FIND(MID($I45&amp;REPT("a",60),ROW($A$1:$A$60),1),"ABCDEFGHIJKLMNOPQRSTUVWXYZabcdefghijklmnopqrstuvwxyzČĆĐŠŽčćđšž -'")))=0,0,1)+IF(SUMPRODUCT(--ISERROR(FIND(MID($L45&amp;REPT("a",60),ROW($A$1:$A$60),1),"ABCDEFGHIJKLMNOPQRSTUVWXYZabcdefghijklmnopqrstuvwxyzČĆĐŠŽčćđšž -'")))=0,0,1)+IF(SUMPRODUCT(--ISERROR(FIND(MID($O45&amp;REPT("a",60),ROW($A$1:$A$60),1),"ABCDEFGHIJKLMNOPQRSTUVWXYZabcdefghijklmnopqrstuvwxyzČĆĐŠŽčćđšž -'")))=0,0,1)&gt;0,"Ime sadrži znakove koji nisu slova",IF(COUNTA($G45,$J45,$M45,$P45)&lt;&gt;COUNTA($F45,$I45,$L45,$O45),"Nedostaje pol za nekog od članova",IF(COUNTA($F45,$I45,$L45,$O45)&lt;VLOOKUP($A45,ekipe,2,FALSE),"Ekipa mora imati najmanje "&amp;VLOOKUP($A45,ekipe,2,FALSE)&amp;" člana",IF(COUNTA($F45,$I45,$L45,$O45)&gt;VLOOKUP($A45,ekipe,3,FALSE),"Ekipa može imati najviše "&amp;VLOOKUP($A45,ekipe,3,FALSE)&amp;" člana",IF($B45="","Nedostaje vrsta ekipe","prijava je kompletna")))))))))))</f>
        <v/>
      </c>
      <c r="R45">
        <f>IF($C45="","sve_ekipne","tdisc_"&amp;$C45)</f>
        <v/>
      </c>
    </row>
    <row r="46" spans="1:18">
      <c r="A46" s="5"/>
      <c r="B46" s="5"/>
      <c r="C46" s="7">
        <f>IF($E46="","",LOOKUP($E46,INDEX(grupe,0,1),INDEX(grupe,0,2)))</f>
        <v/>
      </c>
      <c r="D46" s="7">
        <f>IF($C46="","",VLOOKUP($C46,INDEX(grupe,0,2):INDEX(grupe,0,3),2,FALSE))</f>
        <v/>
      </c>
      <c r="E46" s="5"/>
      <c r="F46" s="5"/>
      <c r="G46" s="5"/>
      <c r="H46" s="5"/>
      <c r="I46" s="5"/>
      <c r="J46" s="5"/>
      <c r="K46" s="5"/>
      <c r="L46" s="5"/>
      <c r="M46" s="5"/>
      <c r="N46" s="5"/>
      <c r="O46" s="5"/>
      <c r="P46" s="5"/>
      <c r="Q46" s="8">
        <f>IF(COUNTA($A46:$B46,$E46,$H46,$K46,$N46,$F46,$I46,$L46,$O46)=0,"",IF($A46="","Nedostaje disciplina",IF($E46="","Nedostaje godište prvog člana",IF($C46="","Godište nije obuhvaćeno uzrasnom tabelom",IF(COUNTIF(INDIRECT("tdisc_"&amp;$C46),$A46)=0,"Disciplina nije moguća za uzrast "&amp;$C46,IF(IF($E46="",0,IF(LOOKUP($E46,INDEX(grupe,0,1),INDEX(grupe,0,2))=$C46,0,1))+IF($H46="",0,IF(LOOKUP($H46,INDEX(grupe,0,1),INDEX(grupe,0,2))=$C46,0,1))+IF($K46="",0,IF(LOOKUP($K46,INDEX(grupe,0,1),INDEX(grupe,0,2))=$C46,0,1))+IF($N46="",0,IF(LOOKUP($N46,INDEX(grupe,0,1),INDEX(grupe,0,2))=$C46,0,1))&gt;0,"Članovi ekipe nisu iz iste uzrasne grupe",IF(COUNTA($F46,$I46,$L46,$O46)&lt;&gt;COUNTA($E46,$H46,$K46,$N46),"Za svakog člana potrebni su i godište i ime",IF(IF(SUMPRODUCT(--ISERROR(FIND(MID($F46&amp;REPT("a",60),ROW($A$1:$A$60),1),"ABCDEFGHIJKLMNOPQRSTUVWXYZabcdefghijklmnopqrstuvwxyzČĆĐŠŽčćđšž -'")))=0,0,1)+IF(SUMPRODUCT(--ISERROR(FIND(MID($I46&amp;REPT("a",60),ROW($A$1:$A$60),1),"ABCDEFGHIJKLMNOPQRSTUVWXYZabcdefghijklmnopqrstuvwxyzČĆĐŠŽčćđšž -'")))=0,0,1)+IF(SUMPRODUCT(--ISERROR(FIND(MID($L46&amp;REPT("a",60),ROW($A$1:$A$60),1),"ABCDEFGHIJKLMNOPQRSTUVWXYZabcdefghijklmnopqrstuvwxyzČĆĐŠŽčćđšž -'")))=0,0,1)+IF(SUMPRODUCT(--ISERROR(FIND(MID($O46&amp;REPT("a",60),ROW($A$1:$A$60),1),"ABCDEFGHIJKLMNOPQRSTUVWXYZabcdefghijklmnopqrstuvwxyzČĆĐŠŽčćđšž -'")))=0,0,1)&gt;0,"Ime sadrži znakove koji nisu slova",IF(COUNTA($G46,$J46,$M46,$P46)&lt;&gt;COUNTA($F46,$I46,$L46,$O46),"Nedostaje pol za nekog od članova",IF(COUNTA($F46,$I46,$L46,$O46)&lt;VLOOKUP($A46,ekipe,2,FALSE),"Ekipa mora imati najmanje "&amp;VLOOKUP($A46,ekipe,2,FALSE)&amp;" člana",IF(COUNTA($F46,$I46,$L46,$O46)&gt;VLOOKUP($A46,ekipe,3,FALSE),"Ekipa može imati najviše "&amp;VLOOKUP($A46,ekipe,3,FALSE)&amp;" člana",IF($B46="","Nedostaje vrsta ekipe","prijava je kompletna")))))))))))</f>
        <v/>
      </c>
      <c r="R46">
        <f>IF($C46="","sve_ekipne","tdisc_"&amp;$C46)</f>
        <v/>
      </c>
    </row>
    <row r="47" spans="1:18">
      <c r="A47" s="5"/>
      <c r="B47" s="5"/>
      <c r="C47" s="7">
        <f>IF($E47="","",LOOKUP($E47,INDEX(grupe,0,1),INDEX(grupe,0,2)))</f>
        <v/>
      </c>
      <c r="D47" s="7">
        <f>IF($C47="","",VLOOKUP($C47,INDEX(grupe,0,2):INDEX(grupe,0,3),2,FALSE))</f>
        <v/>
      </c>
      <c r="E47" s="5"/>
      <c r="F47" s="5"/>
      <c r="G47" s="5"/>
      <c r="H47" s="5"/>
      <c r="I47" s="5"/>
      <c r="J47" s="5"/>
      <c r="K47" s="5"/>
      <c r="L47" s="5"/>
      <c r="M47" s="5"/>
      <c r="N47" s="5"/>
      <c r="O47" s="5"/>
      <c r="P47" s="5"/>
      <c r="Q47" s="8">
        <f>IF(COUNTA($A47:$B47,$E47,$H47,$K47,$N47,$F47,$I47,$L47,$O47)=0,"",IF($A47="","Nedostaje disciplina",IF($E47="","Nedostaje godište prvog člana",IF($C47="","Godište nije obuhvaćeno uzrasnom tabelom",IF(COUNTIF(INDIRECT("tdisc_"&amp;$C47),$A47)=0,"Disciplina nije moguća za uzrast "&amp;$C47,IF(IF($E47="",0,IF(LOOKUP($E47,INDEX(grupe,0,1),INDEX(grupe,0,2))=$C47,0,1))+IF($H47="",0,IF(LOOKUP($H47,INDEX(grupe,0,1),INDEX(grupe,0,2))=$C47,0,1))+IF($K47="",0,IF(LOOKUP($K47,INDEX(grupe,0,1),INDEX(grupe,0,2))=$C47,0,1))+IF($N47="",0,IF(LOOKUP($N47,INDEX(grupe,0,1),INDEX(grupe,0,2))=$C47,0,1))&gt;0,"Članovi ekipe nisu iz iste uzrasne grupe",IF(COUNTA($F47,$I47,$L47,$O47)&lt;&gt;COUNTA($E47,$H47,$K47,$N47),"Za svakog člana potrebni su i godište i ime",IF(IF(SUMPRODUCT(--ISERROR(FIND(MID($F47&amp;REPT("a",60),ROW($A$1:$A$60),1),"ABCDEFGHIJKLMNOPQRSTUVWXYZabcdefghijklmnopqrstuvwxyzČĆĐŠŽčćđšž -'")))=0,0,1)+IF(SUMPRODUCT(--ISERROR(FIND(MID($I47&amp;REPT("a",60),ROW($A$1:$A$60),1),"ABCDEFGHIJKLMNOPQRSTUVWXYZabcdefghijklmnopqrstuvwxyzČĆĐŠŽčćđšž -'")))=0,0,1)+IF(SUMPRODUCT(--ISERROR(FIND(MID($L47&amp;REPT("a",60),ROW($A$1:$A$60),1),"ABCDEFGHIJKLMNOPQRSTUVWXYZabcdefghijklmnopqrstuvwxyzČĆĐŠŽčćđšž -'")))=0,0,1)+IF(SUMPRODUCT(--ISERROR(FIND(MID($O47&amp;REPT("a",60),ROW($A$1:$A$60),1),"ABCDEFGHIJKLMNOPQRSTUVWXYZabcdefghijklmnopqrstuvwxyzČĆĐŠŽčćđšž -'")))=0,0,1)&gt;0,"Ime sadrži znakove koji nisu slova",IF(COUNTA($G47,$J47,$M47,$P47)&lt;&gt;COUNTA($F47,$I47,$L47,$O47),"Nedostaje pol za nekog od članova",IF(COUNTA($F47,$I47,$L47,$O47)&lt;VLOOKUP($A47,ekipe,2,FALSE),"Ekipa mora imati najmanje "&amp;VLOOKUP($A47,ekipe,2,FALSE)&amp;" člana",IF(COUNTA($F47,$I47,$L47,$O47)&gt;VLOOKUP($A47,ekipe,3,FALSE),"Ekipa može imati najviše "&amp;VLOOKUP($A47,ekipe,3,FALSE)&amp;" člana",IF($B47="","Nedostaje vrsta ekipe","prijava je kompletna")))))))))))</f>
        <v/>
      </c>
      <c r="R47">
        <f>IF($C47="","sve_ekipne","tdisc_"&amp;$C47)</f>
        <v/>
      </c>
    </row>
    <row r="48" spans="1:18">
      <c r="A48" s="5"/>
      <c r="B48" s="5"/>
      <c r="C48" s="7">
        <f>IF($E48="","",LOOKUP($E48,INDEX(grupe,0,1),INDEX(grupe,0,2)))</f>
        <v/>
      </c>
      <c r="D48" s="7">
        <f>IF($C48="","",VLOOKUP($C48,INDEX(grupe,0,2):INDEX(grupe,0,3),2,FALSE))</f>
        <v/>
      </c>
      <c r="E48" s="5"/>
      <c r="F48" s="5"/>
      <c r="G48" s="5"/>
      <c r="H48" s="5"/>
      <c r="I48" s="5"/>
      <c r="J48" s="5"/>
      <c r="K48" s="5"/>
      <c r="L48" s="5"/>
      <c r="M48" s="5"/>
      <c r="N48" s="5"/>
      <c r="O48" s="5"/>
      <c r="P48" s="5"/>
      <c r="Q48" s="8">
        <f>IF(COUNTA($A48:$B48,$E48,$H48,$K48,$N48,$F48,$I48,$L48,$O48)=0,"",IF($A48="","Nedostaje disciplina",IF($E48="","Nedostaje godište prvog člana",IF($C48="","Godište nije obuhvaćeno uzrasnom tabelom",IF(COUNTIF(INDIRECT("tdisc_"&amp;$C48),$A48)=0,"Disciplina nije moguća za uzrast "&amp;$C48,IF(IF($E48="",0,IF(LOOKUP($E48,INDEX(grupe,0,1),INDEX(grupe,0,2))=$C48,0,1))+IF($H48="",0,IF(LOOKUP($H48,INDEX(grupe,0,1),INDEX(grupe,0,2))=$C48,0,1))+IF($K48="",0,IF(LOOKUP($K48,INDEX(grupe,0,1),INDEX(grupe,0,2))=$C48,0,1))+IF($N48="",0,IF(LOOKUP($N48,INDEX(grupe,0,1),INDEX(grupe,0,2))=$C48,0,1))&gt;0,"Članovi ekipe nisu iz iste uzrasne grupe",IF(COUNTA($F48,$I48,$L48,$O48)&lt;&gt;COUNTA($E48,$H48,$K48,$N48),"Za svakog člana potrebni su i godište i ime",IF(IF(SUMPRODUCT(--ISERROR(FIND(MID($F48&amp;REPT("a",60),ROW($A$1:$A$60),1),"ABCDEFGHIJKLMNOPQRSTUVWXYZabcdefghijklmnopqrstuvwxyzČĆĐŠŽčćđšž -'")))=0,0,1)+IF(SUMPRODUCT(--ISERROR(FIND(MID($I48&amp;REPT("a",60),ROW($A$1:$A$60),1),"ABCDEFGHIJKLMNOPQRSTUVWXYZabcdefghijklmnopqrstuvwxyzČĆĐŠŽčćđšž -'")))=0,0,1)+IF(SUMPRODUCT(--ISERROR(FIND(MID($L48&amp;REPT("a",60),ROW($A$1:$A$60),1),"ABCDEFGHIJKLMNOPQRSTUVWXYZabcdefghijklmnopqrstuvwxyzČĆĐŠŽčćđšž -'")))=0,0,1)+IF(SUMPRODUCT(--ISERROR(FIND(MID($O48&amp;REPT("a",60),ROW($A$1:$A$60),1),"ABCDEFGHIJKLMNOPQRSTUVWXYZabcdefghijklmnopqrstuvwxyzČĆĐŠŽčćđšž -'")))=0,0,1)&gt;0,"Ime sadrži znakove koji nisu slova",IF(COUNTA($G48,$J48,$M48,$P48)&lt;&gt;COUNTA($F48,$I48,$L48,$O48),"Nedostaje pol za nekog od članova",IF(COUNTA($F48,$I48,$L48,$O48)&lt;VLOOKUP($A48,ekipe,2,FALSE),"Ekipa mora imati najmanje "&amp;VLOOKUP($A48,ekipe,2,FALSE)&amp;" člana",IF(COUNTA($F48,$I48,$L48,$O48)&gt;VLOOKUP($A48,ekipe,3,FALSE),"Ekipa može imati najviše "&amp;VLOOKUP($A48,ekipe,3,FALSE)&amp;" člana",IF($B48="","Nedostaje vrsta ekipe","prijava je kompletna")))))))))))</f>
        <v/>
      </c>
      <c r="R48">
        <f>IF($C48="","sve_ekipne","tdisc_"&amp;$C48)</f>
        <v/>
      </c>
    </row>
    <row r="49" spans="1:18">
      <c r="A49" s="5"/>
      <c r="B49" s="5"/>
      <c r="C49" s="7">
        <f>IF($E49="","",LOOKUP($E49,INDEX(grupe,0,1),INDEX(grupe,0,2)))</f>
        <v/>
      </c>
      <c r="D49" s="7">
        <f>IF($C49="","",VLOOKUP($C49,INDEX(grupe,0,2):INDEX(grupe,0,3),2,FALSE))</f>
        <v/>
      </c>
      <c r="E49" s="5"/>
      <c r="F49" s="5"/>
      <c r="G49" s="5"/>
      <c r="H49" s="5"/>
      <c r="I49" s="5"/>
      <c r="J49" s="5"/>
      <c r="K49" s="5"/>
      <c r="L49" s="5"/>
      <c r="M49" s="5"/>
      <c r="N49" s="5"/>
      <c r="O49" s="5"/>
      <c r="P49" s="5"/>
      <c r="Q49" s="8">
        <f>IF(COUNTA($A49:$B49,$E49,$H49,$K49,$N49,$F49,$I49,$L49,$O49)=0,"",IF($A49="","Nedostaje disciplina",IF($E49="","Nedostaje godište prvog člana",IF($C49="","Godište nije obuhvaćeno uzrasnom tabelom",IF(COUNTIF(INDIRECT("tdisc_"&amp;$C49),$A49)=0,"Disciplina nije moguća za uzrast "&amp;$C49,IF(IF($E49="",0,IF(LOOKUP($E49,INDEX(grupe,0,1),INDEX(grupe,0,2))=$C49,0,1))+IF($H49="",0,IF(LOOKUP($H49,INDEX(grupe,0,1),INDEX(grupe,0,2))=$C49,0,1))+IF($K49="",0,IF(LOOKUP($K49,INDEX(grupe,0,1),INDEX(grupe,0,2))=$C49,0,1))+IF($N49="",0,IF(LOOKUP($N49,INDEX(grupe,0,1),INDEX(grupe,0,2))=$C49,0,1))&gt;0,"Članovi ekipe nisu iz iste uzrasne grupe",IF(COUNTA($F49,$I49,$L49,$O49)&lt;&gt;COUNTA($E49,$H49,$K49,$N49),"Za svakog člana potrebni su i godište i ime",IF(IF(SUMPRODUCT(--ISERROR(FIND(MID($F49&amp;REPT("a",60),ROW($A$1:$A$60),1),"ABCDEFGHIJKLMNOPQRSTUVWXYZabcdefghijklmnopqrstuvwxyzČĆĐŠŽčćđšž -'")))=0,0,1)+IF(SUMPRODUCT(--ISERROR(FIND(MID($I49&amp;REPT("a",60),ROW($A$1:$A$60),1),"ABCDEFGHIJKLMNOPQRSTUVWXYZabcdefghijklmnopqrstuvwxyzČĆĐŠŽčćđšž -'")))=0,0,1)+IF(SUMPRODUCT(--ISERROR(FIND(MID($L49&amp;REPT("a",60),ROW($A$1:$A$60),1),"ABCDEFGHIJKLMNOPQRSTUVWXYZabcdefghijklmnopqrstuvwxyzČĆĐŠŽčćđšž -'")))=0,0,1)+IF(SUMPRODUCT(--ISERROR(FIND(MID($O49&amp;REPT("a",60),ROW($A$1:$A$60),1),"ABCDEFGHIJKLMNOPQRSTUVWXYZabcdefghijklmnopqrstuvwxyzČĆĐŠŽčćđšž -'")))=0,0,1)&gt;0,"Ime sadrži znakove koji nisu slova",IF(COUNTA($G49,$J49,$M49,$P49)&lt;&gt;COUNTA($F49,$I49,$L49,$O49),"Nedostaje pol za nekog od članova",IF(COUNTA($F49,$I49,$L49,$O49)&lt;VLOOKUP($A49,ekipe,2,FALSE),"Ekipa mora imati najmanje "&amp;VLOOKUP($A49,ekipe,2,FALSE)&amp;" člana",IF(COUNTA($F49,$I49,$L49,$O49)&gt;VLOOKUP($A49,ekipe,3,FALSE),"Ekipa može imati najviše "&amp;VLOOKUP($A49,ekipe,3,FALSE)&amp;" člana",IF($B49="","Nedostaje vrsta ekipe","prijava je kompletna")))))))))))</f>
        <v/>
      </c>
      <c r="R49">
        <f>IF($C49="","sve_ekipne","tdisc_"&amp;$C49)</f>
        <v/>
      </c>
    </row>
    <row r="50" spans="1:18">
      <c r="A50" s="5"/>
      <c r="B50" s="5"/>
      <c r="C50" s="7">
        <f>IF($E50="","",LOOKUP($E50,INDEX(grupe,0,1),INDEX(grupe,0,2)))</f>
        <v/>
      </c>
      <c r="D50" s="7">
        <f>IF($C50="","",VLOOKUP($C50,INDEX(grupe,0,2):INDEX(grupe,0,3),2,FALSE))</f>
        <v/>
      </c>
      <c r="E50" s="5"/>
      <c r="F50" s="5"/>
      <c r="G50" s="5"/>
      <c r="H50" s="5"/>
      <c r="I50" s="5"/>
      <c r="J50" s="5"/>
      <c r="K50" s="5"/>
      <c r="L50" s="5"/>
      <c r="M50" s="5"/>
      <c r="N50" s="5"/>
      <c r="O50" s="5"/>
      <c r="P50" s="5"/>
      <c r="Q50" s="8">
        <f>IF(COUNTA($A50:$B50,$E50,$H50,$K50,$N50,$F50,$I50,$L50,$O50)=0,"",IF($A50="","Nedostaje disciplina",IF($E50="","Nedostaje godište prvog člana",IF($C50="","Godište nije obuhvaćeno uzrasnom tabelom",IF(COUNTIF(INDIRECT("tdisc_"&amp;$C50),$A50)=0,"Disciplina nije moguća za uzrast "&amp;$C50,IF(IF($E50="",0,IF(LOOKUP($E50,INDEX(grupe,0,1),INDEX(grupe,0,2))=$C50,0,1))+IF($H50="",0,IF(LOOKUP($H50,INDEX(grupe,0,1),INDEX(grupe,0,2))=$C50,0,1))+IF($K50="",0,IF(LOOKUP($K50,INDEX(grupe,0,1),INDEX(grupe,0,2))=$C50,0,1))+IF($N50="",0,IF(LOOKUP($N50,INDEX(grupe,0,1),INDEX(grupe,0,2))=$C50,0,1))&gt;0,"Članovi ekipe nisu iz iste uzrasne grupe",IF(COUNTA($F50,$I50,$L50,$O50)&lt;&gt;COUNTA($E50,$H50,$K50,$N50),"Za svakog člana potrebni su i godište i ime",IF(IF(SUMPRODUCT(--ISERROR(FIND(MID($F50&amp;REPT("a",60),ROW($A$1:$A$60),1),"ABCDEFGHIJKLMNOPQRSTUVWXYZabcdefghijklmnopqrstuvwxyzČĆĐŠŽčćđšž -'")))=0,0,1)+IF(SUMPRODUCT(--ISERROR(FIND(MID($I50&amp;REPT("a",60),ROW($A$1:$A$60),1),"ABCDEFGHIJKLMNOPQRSTUVWXYZabcdefghijklmnopqrstuvwxyzČĆĐŠŽčćđšž -'")))=0,0,1)+IF(SUMPRODUCT(--ISERROR(FIND(MID($L50&amp;REPT("a",60),ROW($A$1:$A$60),1),"ABCDEFGHIJKLMNOPQRSTUVWXYZabcdefghijklmnopqrstuvwxyzČĆĐŠŽčćđšž -'")))=0,0,1)+IF(SUMPRODUCT(--ISERROR(FIND(MID($O50&amp;REPT("a",60),ROW($A$1:$A$60),1),"ABCDEFGHIJKLMNOPQRSTUVWXYZabcdefghijklmnopqrstuvwxyzČĆĐŠŽčćđšž -'")))=0,0,1)&gt;0,"Ime sadrži znakove koji nisu slova",IF(COUNTA($G50,$J50,$M50,$P50)&lt;&gt;COUNTA($F50,$I50,$L50,$O50),"Nedostaje pol za nekog od članova",IF(COUNTA($F50,$I50,$L50,$O50)&lt;VLOOKUP($A50,ekipe,2,FALSE),"Ekipa mora imati najmanje "&amp;VLOOKUP($A50,ekipe,2,FALSE)&amp;" člana",IF(COUNTA($F50,$I50,$L50,$O50)&gt;VLOOKUP($A50,ekipe,3,FALSE),"Ekipa može imati najviše "&amp;VLOOKUP($A50,ekipe,3,FALSE)&amp;" člana",IF($B50="","Nedostaje vrsta ekipe","prijava je kompletna")))))))))))</f>
        <v/>
      </c>
      <c r="R50">
        <f>IF($C50="","sve_ekipne","tdisc_"&amp;$C50)</f>
        <v/>
      </c>
    </row>
    <row r="51" spans="1:18">
      <c r="A51" s="5"/>
      <c r="B51" s="5"/>
      <c r="C51" s="7">
        <f>IF($E51="","",LOOKUP($E51,INDEX(grupe,0,1),INDEX(grupe,0,2)))</f>
        <v/>
      </c>
      <c r="D51" s="7">
        <f>IF($C51="","",VLOOKUP($C51,INDEX(grupe,0,2):INDEX(grupe,0,3),2,FALSE))</f>
        <v/>
      </c>
      <c r="E51" s="5"/>
      <c r="F51" s="5"/>
      <c r="G51" s="5"/>
      <c r="H51" s="5"/>
      <c r="I51" s="5"/>
      <c r="J51" s="5"/>
      <c r="K51" s="5"/>
      <c r="L51" s="5"/>
      <c r="M51" s="5"/>
      <c r="N51" s="5"/>
      <c r="O51" s="5"/>
      <c r="P51" s="5"/>
      <c r="Q51" s="8">
        <f>IF(COUNTA($A51:$B51,$E51,$H51,$K51,$N51,$F51,$I51,$L51,$O51)=0,"",IF($A51="","Nedostaje disciplina",IF($E51="","Nedostaje godište prvog člana",IF($C51="","Godište nije obuhvaćeno uzrasnom tabelom",IF(COUNTIF(INDIRECT("tdisc_"&amp;$C51),$A51)=0,"Disciplina nije moguća za uzrast "&amp;$C51,IF(IF($E51="",0,IF(LOOKUP($E51,INDEX(grupe,0,1),INDEX(grupe,0,2))=$C51,0,1))+IF($H51="",0,IF(LOOKUP($H51,INDEX(grupe,0,1),INDEX(grupe,0,2))=$C51,0,1))+IF($K51="",0,IF(LOOKUP($K51,INDEX(grupe,0,1),INDEX(grupe,0,2))=$C51,0,1))+IF($N51="",0,IF(LOOKUP($N51,INDEX(grupe,0,1),INDEX(grupe,0,2))=$C51,0,1))&gt;0,"Članovi ekipe nisu iz iste uzrasne grupe",IF(COUNTA($F51,$I51,$L51,$O51)&lt;&gt;COUNTA($E51,$H51,$K51,$N51),"Za svakog člana potrebni su i godište i ime",IF(IF(SUMPRODUCT(--ISERROR(FIND(MID($F51&amp;REPT("a",60),ROW($A$1:$A$60),1),"ABCDEFGHIJKLMNOPQRSTUVWXYZabcdefghijklmnopqrstuvwxyzČĆĐŠŽčćđšž -'")))=0,0,1)+IF(SUMPRODUCT(--ISERROR(FIND(MID($I51&amp;REPT("a",60),ROW($A$1:$A$60),1),"ABCDEFGHIJKLMNOPQRSTUVWXYZabcdefghijklmnopqrstuvwxyzČĆĐŠŽčćđšž -'")))=0,0,1)+IF(SUMPRODUCT(--ISERROR(FIND(MID($L51&amp;REPT("a",60),ROW($A$1:$A$60),1),"ABCDEFGHIJKLMNOPQRSTUVWXYZabcdefghijklmnopqrstuvwxyzČĆĐŠŽčćđšž -'")))=0,0,1)+IF(SUMPRODUCT(--ISERROR(FIND(MID($O51&amp;REPT("a",60),ROW($A$1:$A$60),1),"ABCDEFGHIJKLMNOPQRSTUVWXYZabcdefghijklmnopqrstuvwxyzČĆĐŠŽčćđšž -'")))=0,0,1)&gt;0,"Ime sadrži znakove koji nisu slova",IF(COUNTA($G51,$J51,$M51,$P51)&lt;&gt;COUNTA($F51,$I51,$L51,$O51),"Nedostaje pol za nekog od članova",IF(COUNTA($F51,$I51,$L51,$O51)&lt;VLOOKUP($A51,ekipe,2,FALSE),"Ekipa mora imati najmanje "&amp;VLOOKUP($A51,ekipe,2,FALSE)&amp;" člana",IF(COUNTA($F51,$I51,$L51,$O51)&gt;VLOOKUP($A51,ekipe,3,FALSE),"Ekipa može imati najviše "&amp;VLOOKUP($A51,ekipe,3,FALSE)&amp;" člana",IF($B51="","Nedostaje vrsta ekipe","prijava je kompletna")))))))))))</f>
        <v/>
      </c>
      <c r="R51">
        <f>IF($C51="","sve_ekipne","tdisc_"&amp;$C51)</f>
        <v/>
      </c>
    </row>
    <row r="52" spans="1:18">
      <c r="A52" s="5"/>
      <c r="B52" s="5"/>
      <c r="C52" s="7">
        <f>IF($E52="","",LOOKUP($E52,INDEX(grupe,0,1),INDEX(grupe,0,2)))</f>
        <v/>
      </c>
      <c r="D52" s="7">
        <f>IF($C52="","",VLOOKUP($C52,INDEX(grupe,0,2):INDEX(grupe,0,3),2,FALSE))</f>
        <v/>
      </c>
      <c r="E52" s="5"/>
      <c r="F52" s="5"/>
      <c r="G52" s="5"/>
      <c r="H52" s="5"/>
      <c r="I52" s="5"/>
      <c r="J52" s="5"/>
      <c r="K52" s="5"/>
      <c r="L52" s="5"/>
      <c r="M52" s="5"/>
      <c r="N52" s="5"/>
      <c r="O52" s="5"/>
      <c r="P52" s="5"/>
      <c r="Q52" s="8">
        <f>IF(COUNTA($A52:$B52,$E52,$H52,$K52,$N52,$F52,$I52,$L52,$O52)=0,"",IF($A52="","Nedostaje disciplina",IF($E52="","Nedostaje godište prvog člana",IF($C52="","Godište nije obuhvaćeno uzrasnom tabelom",IF(COUNTIF(INDIRECT("tdisc_"&amp;$C52),$A52)=0,"Disciplina nije moguća za uzrast "&amp;$C52,IF(IF($E52="",0,IF(LOOKUP($E52,INDEX(grupe,0,1),INDEX(grupe,0,2))=$C52,0,1))+IF($H52="",0,IF(LOOKUP($H52,INDEX(grupe,0,1),INDEX(grupe,0,2))=$C52,0,1))+IF($K52="",0,IF(LOOKUP($K52,INDEX(grupe,0,1),INDEX(grupe,0,2))=$C52,0,1))+IF($N52="",0,IF(LOOKUP($N52,INDEX(grupe,0,1),INDEX(grupe,0,2))=$C52,0,1))&gt;0,"Članovi ekipe nisu iz iste uzrasne grupe",IF(COUNTA($F52,$I52,$L52,$O52)&lt;&gt;COUNTA($E52,$H52,$K52,$N52),"Za svakog člana potrebni su i godište i ime",IF(IF(SUMPRODUCT(--ISERROR(FIND(MID($F52&amp;REPT("a",60),ROW($A$1:$A$60),1),"ABCDEFGHIJKLMNOPQRSTUVWXYZabcdefghijklmnopqrstuvwxyzČĆĐŠŽčćđšž -'")))=0,0,1)+IF(SUMPRODUCT(--ISERROR(FIND(MID($I52&amp;REPT("a",60),ROW($A$1:$A$60),1),"ABCDEFGHIJKLMNOPQRSTUVWXYZabcdefghijklmnopqrstuvwxyzČĆĐŠŽčćđšž -'")))=0,0,1)+IF(SUMPRODUCT(--ISERROR(FIND(MID($L52&amp;REPT("a",60),ROW($A$1:$A$60),1),"ABCDEFGHIJKLMNOPQRSTUVWXYZabcdefghijklmnopqrstuvwxyzČĆĐŠŽčćđšž -'")))=0,0,1)+IF(SUMPRODUCT(--ISERROR(FIND(MID($O52&amp;REPT("a",60),ROW($A$1:$A$60),1),"ABCDEFGHIJKLMNOPQRSTUVWXYZabcdefghijklmnopqrstuvwxyzČĆĐŠŽčćđšž -'")))=0,0,1)&gt;0,"Ime sadrži znakove koji nisu slova",IF(COUNTA($G52,$J52,$M52,$P52)&lt;&gt;COUNTA($F52,$I52,$L52,$O52),"Nedostaje pol za nekog od članova",IF(COUNTA($F52,$I52,$L52,$O52)&lt;VLOOKUP($A52,ekipe,2,FALSE),"Ekipa mora imati najmanje "&amp;VLOOKUP($A52,ekipe,2,FALSE)&amp;" člana",IF(COUNTA($F52,$I52,$L52,$O52)&gt;VLOOKUP($A52,ekipe,3,FALSE),"Ekipa može imati najviše "&amp;VLOOKUP($A52,ekipe,3,FALSE)&amp;" člana",IF($B52="","Nedostaje vrsta ekipe","prijava je kompletna")))))))))))</f>
        <v/>
      </c>
      <c r="R52">
        <f>IF($C52="","sve_ekipne","tdisc_"&amp;$C52)</f>
        <v/>
      </c>
    </row>
    <row r="53" spans="1:18">
      <c r="A53" s="5"/>
      <c r="B53" s="5"/>
      <c r="C53" s="7">
        <f>IF($E53="","",LOOKUP($E53,INDEX(grupe,0,1),INDEX(grupe,0,2)))</f>
        <v/>
      </c>
      <c r="D53" s="7">
        <f>IF($C53="","",VLOOKUP($C53,INDEX(grupe,0,2):INDEX(grupe,0,3),2,FALSE))</f>
        <v/>
      </c>
      <c r="E53" s="5"/>
      <c r="F53" s="5"/>
      <c r="G53" s="5"/>
      <c r="H53" s="5"/>
      <c r="I53" s="5"/>
      <c r="J53" s="5"/>
      <c r="K53" s="5"/>
      <c r="L53" s="5"/>
      <c r="M53" s="5"/>
      <c r="N53" s="5"/>
      <c r="O53" s="5"/>
      <c r="P53" s="5"/>
      <c r="Q53" s="8">
        <f>IF(COUNTA($A53:$B53,$E53,$H53,$K53,$N53,$F53,$I53,$L53,$O53)=0,"",IF($A53="","Nedostaje disciplina",IF($E53="","Nedostaje godište prvog člana",IF($C53="","Godište nije obuhvaćeno uzrasnom tabelom",IF(COUNTIF(INDIRECT("tdisc_"&amp;$C53),$A53)=0,"Disciplina nije moguća za uzrast "&amp;$C53,IF(IF($E53="",0,IF(LOOKUP($E53,INDEX(grupe,0,1),INDEX(grupe,0,2))=$C53,0,1))+IF($H53="",0,IF(LOOKUP($H53,INDEX(grupe,0,1),INDEX(grupe,0,2))=$C53,0,1))+IF($K53="",0,IF(LOOKUP($K53,INDEX(grupe,0,1),INDEX(grupe,0,2))=$C53,0,1))+IF($N53="",0,IF(LOOKUP($N53,INDEX(grupe,0,1),INDEX(grupe,0,2))=$C53,0,1))&gt;0,"Članovi ekipe nisu iz iste uzrasne grupe",IF(COUNTA($F53,$I53,$L53,$O53)&lt;&gt;COUNTA($E53,$H53,$K53,$N53),"Za svakog člana potrebni su i godište i ime",IF(IF(SUMPRODUCT(--ISERROR(FIND(MID($F53&amp;REPT("a",60),ROW($A$1:$A$60),1),"ABCDEFGHIJKLMNOPQRSTUVWXYZabcdefghijklmnopqrstuvwxyzČĆĐŠŽčćđšž -'")))=0,0,1)+IF(SUMPRODUCT(--ISERROR(FIND(MID($I53&amp;REPT("a",60),ROW($A$1:$A$60),1),"ABCDEFGHIJKLMNOPQRSTUVWXYZabcdefghijklmnopqrstuvwxyzČĆĐŠŽčćđšž -'")))=0,0,1)+IF(SUMPRODUCT(--ISERROR(FIND(MID($L53&amp;REPT("a",60),ROW($A$1:$A$60),1),"ABCDEFGHIJKLMNOPQRSTUVWXYZabcdefghijklmnopqrstuvwxyzČĆĐŠŽčćđšž -'")))=0,0,1)+IF(SUMPRODUCT(--ISERROR(FIND(MID($O53&amp;REPT("a",60),ROW($A$1:$A$60),1),"ABCDEFGHIJKLMNOPQRSTUVWXYZabcdefghijklmnopqrstuvwxyzČĆĐŠŽčćđšž -'")))=0,0,1)&gt;0,"Ime sadrži znakove koji nisu slova",IF(COUNTA($G53,$J53,$M53,$P53)&lt;&gt;COUNTA($F53,$I53,$L53,$O53),"Nedostaje pol za nekog od članova",IF(COUNTA($F53,$I53,$L53,$O53)&lt;VLOOKUP($A53,ekipe,2,FALSE),"Ekipa mora imati najmanje "&amp;VLOOKUP($A53,ekipe,2,FALSE)&amp;" člana",IF(COUNTA($F53,$I53,$L53,$O53)&gt;VLOOKUP($A53,ekipe,3,FALSE),"Ekipa može imati najviše "&amp;VLOOKUP($A53,ekipe,3,FALSE)&amp;" člana",IF($B53="","Nedostaje vrsta ekipe","prijava je kompletna")))))))))))</f>
        <v/>
      </c>
      <c r="R53">
        <f>IF($C53="","sve_ekipne","tdisc_"&amp;$C53)</f>
        <v/>
      </c>
    </row>
    <row r="54" spans="1:18">
      <c r="A54" s="5"/>
      <c r="B54" s="5"/>
      <c r="C54" s="7">
        <f>IF($E54="","",LOOKUP($E54,INDEX(grupe,0,1),INDEX(grupe,0,2)))</f>
        <v/>
      </c>
      <c r="D54" s="7">
        <f>IF($C54="","",VLOOKUP($C54,INDEX(grupe,0,2):INDEX(grupe,0,3),2,FALSE))</f>
        <v/>
      </c>
      <c r="E54" s="5"/>
      <c r="F54" s="5"/>
      <c r="G54" s="5"/>
      <c r="H54" s="5"/>
      <c r="I54" s="5"/>
      <c r="J54" s="5"/>
      <c r="K54" s="5"/>
      <c r="L54" s="5"/>
      <c r="M54" s="5"/>
      <c r="N54" s="5"/>
      <c r="O54" s="5"/>
      <c r="P54" s="5"/>
      <c r="Q54" s="8">
        <f>IF(COUNTA($A54:$B54,$E54,$H54,$K54,$N54,$F54,$I54,$L54,$O54)=0,"",IF($A54="","Nedostaje disciplina",IF($E54="","Nedostaje godište prvog člana",IF($C54="","Godište nije obuhvaćeno uzrasnom tabelom",IF(COUNTIF(INDIRECT("tdisc_"&amp;$C54),$A54)=0,"Disciplina nije moguća za uzrast "&amp;$C54,IF(IF($E54="",0,IF(LOOKUP($E54,INDEX(grupe,0,1),INDEX(grupe,0,2))=$C54,0,1))+IF($H54="",0,IF(LOOKUP($H54,INDEX(grupe,0,1),INDEX(grupe,0,2))=$C54,0,1))+IF($K54="",0,IF(LOOKUP($K54,INDEX(grupe,0,1),INDEX(grupe,0,2))=$C54,0,1))+IF($N54="",0,IF(LOOKUP($N54,INDEX(grupe,0,1),INDEX(grupe,0,2))=$C54,0,1))&gt;0,"Članovi ekipe nisu iz iste uzrasne grupe",IF(COUNTA($F54,$I54,$L54,$O54)&lt;&gt;COUNTA($E54,$H54,$K54,$N54),"Za svakog člana potrebni su i godište i ime",IF(IF(SUMPRODUCT(--ISERROR(FIND(MID($F54&amp;REPT("a",60),ROW($A$1:$A$60),1),"ABCDEFGHIJKLMNOPQRSTUVWXYZabcdefghijklmnopqrstuvwxyzČĆĐŠŽčćđšž -'")))=0,0,1)+IF(SUMPRODUCT(--ISERROR(FIND(MID($I54&amp;REPT("a",60),ROW($A$1:$A$60),1),"ABCDEFGHIJKLMNOPQRSTUVWXYZabcdefghijklmnopqrstuvwxyzČĆĐŠŽčćđšž -'")))=0,0,1)+IF(SUMPRODUCT(--ISERROR(FIND(MID($L54&amp;REPT("a",60),ROW($A$1:$A$60),1),"ABCDEFGHIJKLMNOPQRSTUVWXYZabcdefghijklmnopqrstuvwxyzČĆĐŠŽčćđšž -'")))=0,0,1)+IF(SUMPRODUCT(--ISERROR(FIND(MID($O54&amp;REPT("a",60),ROW($A$1:$A$60),1),"ABCDEFGHIJKLMNOPQRSTUVWXYZabcdefghijklmnopqrstuvwxyzČĆĐŠŽčćđšž -'")))=0,0,1)&gt;0,"Ime sadrži znakove koji nisu slova",IF(COUNTA($G54,$J54,$M54,$P54)&lt;&gt;COUNTA($F54,$I54,$L54,$O54),"Nedostaje pol za nekog od članova",IF(COUNTA($F54,$I54,$L54,$O54)&lt;VLOOKUP($A54,ekipe,2,FALSE),"Ekipa mora imati najmanje "&amp;VLOOKUP($A54,ekipe,2,FALSE)&amp;" člana",IF(COUNTA($F54,$I54,$L54,$O54)&gt;VLOOKUP($A54,ekipe,3,FALSE),"Ekipa može imati najviše "&amp;VLOOKUP($A54,ekipe,3,FALSE)&amp;" člana",IF($B54="","Nedostaje vrsta ekipe","prijava je kompletna")))))))))))</f>
        <v/>
      </c>
      <c r="R54">
        <f>IF($C54="","sve_ekipne","tdisc_"&amp;$C54)</f>
        <v/>
      </c>
    </row>
    <row r="55" spans="1:18">
      <c r="A55" s="5"/>
      <c r="B55" s="5"/>
      <c r="C55" s="7">
        <f>IF($E55="","",LOOKUP($E55,INDEX(grupe,0,1),INDEX(grupe,0,2)))</f>
        <v/>
      </c>
      <c r="D55" s="7">
        <f>IF($C55="","",VLOOKUP($C55,INDEX(grupe,0,2):INDEX(grupe,0,3),2,FALSE))</f>
        <v/>
      </c>
      <c r="E55" s="5"/>
      <c r="F55" s="5"/>
      <c r="G55" s="5"/>
      <c r="H55" s="5"/>
      <c r="I55" s="5"/>
      <c r="J55" s="5"/>
      <c r="K55" s="5"/>
      <c r="L55" s="5"/>
      <c r="M55" s="5"/>
      <c r="N55" s="5"/>
      <c r="O55" s="5"/>
      <c r="P55" s="5"/>
      <c r="Q55" s="8">
        <f>IF(COUNTA($A55:$B55,$E55,$H55,$K55,$N55,$F55,$I55,$L55,$O55)=0,"",IF($A55="","Nedostaje disciplina",IF($E55="","Nedostaje godište prvog člana",IF($C55="","Godište nije obuhvaćeno uzrasnom tabelom",IF(COUNTIF(INDIRECT("tdisc_"&amp;$C55),$A55)=0,"Disciplina nije moguća za uzrast "&amp;$C55,IF(IF($E55="",0,IF(LOOKUP($E55,INDEX(grupe,0,1),INDEX(grupe,0,2))=$C55,0,1))+IF($H55="",0,IF(LOOKUP($H55,INDEX(grupe,0,1),INDEX(grupe,0,2))=$C55,0,1))+IF($K55="",0,IF(LOOKUP($K55,INDEX(grupe,0,1),INDEX(grupe,0,2))=$C55,0,1))+IF($N55="",0,IF(LOOKUP($N55,INDEX(grupe,0,1),INDEX(grupe,0,2))=$C55,0,1))&gt;0,"Članovi ekipe nisu iz iste uzrasne grupe",IF(COUNTA($F55,$I55,$L55,$O55)&lt;&gt;COUNTA($E55,$H55,$K55,$N55),"Za svakog člana potrebni su i godište i ime",IF(IF(SUMPRODUCT(--ISERROR(FIND(MID($F55&amp;REPT("a",60),ROW($A$1:$A$60),1),"ABCDEFGHIJKLMNOPQRSTUVWXYZabcdefghijklmnopqrstuvwxyzČĆĐŠŽčćđšž -'")))=0,0,1)+IF(SUMPRODUCT(--ISERROR(FIND(MID($I55&amp;REPT("a",60),ROW($A$1:$A$60),1),"ABCDEFGHIJKLMNOPQRSTUVWXYZabcdefghijklmnopqrstuvwxyzČĆĐŠŽčćđšž -'")))=0,0,1)+IF(SUMPRODUCT(--ISERROR(FIND(MID($L55&amp;REPT("a",60),ROW($A$1:$A$60),1),"ABCDEFGHIJKLMNOPQRSTUVWXYZabcdefghijklmnopqrstuvwxyzČĆĐŠŽčćđšž -'")))=0,0,1)+IF(SUMPRODUCT(--ISERROR(FIND(MID($O55&amp;REPT("a",60),ROW($A$1:$A$60),1),"ABCDEFGHIJKLMNOPQRSTUVWXYZabcdefghijklmnopqrstuvwxyzČĆĐŠŽčćđšž -'")))=0,0,1)&gt;0,"Ime sadrži znakove koji nisu slova",IF(COUNTA($G55,$J55,$M55,$P55)&lt;&gt;COUNTA($F55,$I55,$L55,$O55),"Nedostaje pol za nekog od članova",IF(COUNTA($F55,$I55,$L55,$O55)&lt;VLOOKUP($A55,ekipe,2,FALSE),"Ekipa mora imati najmanje "&amp;VLOOKUP($A55,ekipe,2,FALSE)&amp;" člana",IF(COUNTA($F55,$I55,$L55,$O55)&gt;VLOOKUP($A55,ekipe,3,FALSE),"Ekipa može imati najviše "&amp;VLOOKUP($A55,ekipe,3,FALSE)&amp;" člana",IF($B55="","Nedostaje vrsta ekipe","prijava je kompletna")))))))))))</f>
        <v/>
      </c>
      <c r="R55">
        <f>IF($C55="","sve_ekipne","tdisc_"&amp;$C55)</f>
        <v/>
      </c>
    </row>
    <row r="56" spans="1:18">
      <c r="A56" s="5"/>
      <c r="B56" s="5"/>
      <c r="C56" s="7">
        <f>IF($E56="","",LOOKUP($E56,INDEX(grupe,0,1),INDEX(grupe,0,2)))</f>
        <v/>
      </c>
      <c r="D56" s="7">
        <f>IF($C56="","",VLOOKUP($C56,INDEX(grupe,0,2):INDEX(grupe,0,3),2,FALSE))</f>
        <v/>
      </c>
      <c r="E56" s="5"/>
      <c r="F56" s="5"/>
      <c r="G56" s="5"/>
      <c r="H56" s="5"/>
      <c r="I56" s="5"/>
      <c r="J56" s="5"/>
      <c r="K56" s="5"/>
      <c r="L56" s="5"/>
      <c r="M56" s="5"/>
      <c r="N56" s="5"/>
      <c r="O56" s="5"/>
      <c r="P56" s="5"/>
      <c r="Q56" s="8">
        <f>IF(COUNTA($A56:$B56,$E56,$H56,$K56,$N56,$F56,$I56,$L56,$O56)=0,"",IF($A56="","Nedostaje disciplina",IF($E56="","Nedostaje godište prvog člana",IF($C56="","Godište nije obuhvaćeno uzrasnom tabelom",IF(COUNTIF(INDIRECT("tdisc_"&amp;$C56),$A56)=0,"Disciplina nije moguća za uzrast "&amp;$C56,IF(IF($E56="",0,IF(LOOKUP($E56,INDEX(grupe,0,1),INDEX(grupe,0,2))=$C56,0,1))+IF($H56="",0,IF(LOOKUP($H56,INDEX(grupe,0,1),INDEX(grupe,0,2))=$C56,0,1))+IF($K56="",0,IF(LOOKUP($K56,INDEX(grupe,0,1),INDEX(grupe,0,2))=$C56,0,1))+IF($N56="",0,IF(LOOKUP($N56,INDEX(grupe,0,1),INDEX(grupe,0,2))=$C56,0,1))&gt;0,"Članovi ekipe nisu iz iste uzrasne grupe",IF(COUNTA($F56,$I56,$L56,$O56)&lt;&gt;COUNTA($E56,$H56,$K56,$N56),"Za svakog člana potrebni su i godište i ime",IF(IF(SUMPRODUCT(--ISERROR(FIND(MID($F56&amp;REPT("a",60),ROW($A$1:$A$60),1),"ABCDEFGHIJKLMNOPQRSTUVWXYZabcdefghijklmnopqrstuvwxyzČĆĐŠŽčćđšž -'")))=0,0,1)+IF(SUMPRODUCT(--ISERROR(FIND(MID($I56&amp;REPT("a",60),ROW($A$1:$A$60),1),"ABCDEFGHIJKLMNOPQRSTUVWXYZabcdefghijklmnopqrstuvwxyzČĆĐŠŽčćđšž -'")))=0,0,1)+IF(SUMPRODUCT(--ISERROR(FIND(MID($L56&amp;REPT("a",60),ROW($A$1:$A$60),1),"ABCDEFGHIJKLMNOPQRSTUVWXYZabcdefghijklmnopqrstuvwxyzČĆĐŠŽčćđšž -'")))=0,0,1)+IF(SUMPRODUCT(--ISERROR(FIND(MID($O56&amp;REPT("a",60),ROW($A$1:$A$60),1),"ABCDEFGHIJKLMNOPQRSTUVWXYZabcdefghijklmnopqrstuvwxyzČĆĐŠŽčćđšž -'")))=0,0,1)&gt;0,"Ime sadrži znakove koji nisu slova",IF(COUNTA($G56,$J56,$M56,$P56)&lt;&gt;COUNTA($F56,$I56,$L56,$O56),"Nedostaje pol za nekog od članova",IF(COUNTA($F56,$I56,$L56,$O56)&lt;VLOOKUP($A56,ekipe,2,FALSE),"Ekipa mora imati najmanje "&amp;VLOOKUP($A56,ekipe,2,FALSE)&amp;" člana",IF(COUNTA($F56,$I56,$L56,$O56)&gt;VLOOKUP($A56,ekipe,3,FALSE),"Ekipa može imati najviše "&amp;VLOOKUP($A56,ekipe,3,FALSE)&amp;" člana",IF($B56="","Nedostaje vrsta ekipe","prijava je kompletna")))))))))))</f>
        <v/>
      </c>
      <c r="R56">
        <f>IF($C56="","sve_ekipne","tdisc_"&amp;$C56)</f>
        <v/>
      </c>
    </row>
    <row r="57" spans="1:18">
      <c r="A57" s="5"/>
      <c r="B57" s="5"/>
      <c r="C57" s="7">
        <f>IF($E57="","",LOOKUP($E57,INDEX(grupe,0,1),INDEX(grupe,0,2)))</f>
        <v/>
      </c>
      <c r="D57" s="7">
        <f>IF($C57="","",VLOOKUP($C57,INDEX(grupe,0,2):INDEX(grupe,0,3),2,FALSE))</f>
        <v/>
      </c>
      <c r="E57" s="5"/>
      <c r="F57" s="5"/>
      <c r="G57" s="5"/>
      <c r="H57" s="5"/>
      <c r="I57" s="5"/>
      <c r="J57" s="5"/>
      <c r="K57" s="5"/>
      <c r="L57" s="5"/>
      <c r="M57" s="5"/>
      <c r="N57" s="5"/>
      <c r="O57" s="5"/>
      <c r="P57" s="5"/>
      <c r="Q57" s="8">
        <f>IF(COUNTA($A57:$B57,$E57,$H57,$K57,$N57,$F57,$I57,$L57,$O57)=0,"",IF($A57="","Nedostaje disciplina",IF($E57="","Nedostaje godište prvog člana",IF($C57="","Godište nije obuhvaćeno uzrasnom tabelom",IF(COUNTIF(INDIRECT("tdisc_"&amp;$C57),$A57)=0,"Disciplina nije moguća za uzrast "&amp;$C57,IF(IF($E57="",0,IF(LOOKUP($E57,INDEX(grupe,0,1),INDEX(grupe,0,2))=$C57,0,1))+IF($H57="",0,IF(LOOKUP($H57,INDEX(grupe,0,1),INDEX(grupe,0,2))=$C57,0,1))+IF($K57="",0,IF(LOOKUP($K57,INDEX(grupe,0,1),INDEX(grupe,0,2))=$C57,0,1))+IF($N57="",0,IF(LOOKUP($N57,INDEX(grupe,0,1),INDEX(grupe,0,2))=$C57,0,1))&gt;0,"Članovi ekipe nisu iz iste uzrasne grupe",IF(COUNTA($F57,$I57,$L57,$O57)&lt;&gt;COUNTA($E57,$H57,$K57,$N57),"Za svakog člana potrebni su i godište i ime",IF(IF(SUMPRODUCT(--ISERROR(FIND(MID($F57&amp;REPT("a",60),ROW($A$1:$A$60),1),"ABCDEFGHIJKLMNOPQRSTUVWXYZabcdefghijklmnopqrstuvwxyzČĆĐŠŽčćđšž -'")))=0,0,1)+IF(SUMPRODUCT(--ISERROR(FIND(MID($I57&amp;REPT("a",60),ROW($A$1:$A$60),1),"ABCDEFGHIJKLMNOPQRSTUVWXYZabcdefghijklmnopqrstuvwxyzČĆĐŠŽčćđšž -'")))=0,0,1)+IF(SUMPRODUCT(--ISERROR(FIND(MID($L57&amp;REPT("a",60),ROW($A$1:$A$60),1),"ABCDEFGHIJKLMNOPQRSTUVWXYZabcdefghijklmnopqrstuvwxyzČĆĐŠŽčćđšž -'")))=0,0,1)+IF(SUMPRODUCT(--ISERROR(FIND(MID($O57&amp;REPT("a",60),ROW($A$1:$A$60),1),"ABCDEFGHIJKLMNOPQRSTUVWXYZabcdefghijklmnopqrstuvwxyzČĆĐŠŽčćđšž -'")))=0,0,1)&gt;0,"Ime sadrži znakove koji nisu slova",IF(COUNTA($G57,$J57,$M57,$P57)&lt;&gt;COUNTA($F57,$I57,$L57,$O57),"Nedostaje pol za nekog od članova",IF(COUNTA($F57,$I57,$L57,$O57)&lt;VLOOKUP($A57,ekipe,2,FALSE),"Ekipa mora imati najmanje "&amp;VLOOKUP($A57,ekipe,2,FALSE)&amp;" člana",IF(COUNTA($F57,$I57,$L57,$O57)&gt;VLOOKUP($A57,ekipe,3,FALSE),"Ekipa može imati najviše "&amp;VLOOKUP($A57,ekipe,3,FALSE)&amp;" člana",IF($B57="","Nedostaje vrsta ekipe","prijava je kompletna")))))))))))</f>
        <v/>
      </c>
      <c r="R57">
        <f>IF($C57="","sve_ekipne","tdisc_"&amp;$C57)</f>
        <v/>
      </c>
    </row>
    <row r="58" spans="1:18">
      <c r="A58" s="5"/>
      <c r="B58" s="5"/>
      <c r="C58" s="7">
        <f>IF($E58="","",LOOKUP($E58,INDEX(grupe,0,1),INDEX(grupe,0,2)))</f>
        <v/>
      </c>
      <c r="D58" s="7">
        <f>IF($C58="","",VLOOKUP($C58,INDEX(grupe,0,2):INDEX(grupe,0,3),2,FALSE))</f>
        <v/>
      </c>
      <c r="E58" s="5"/>
      <c r="F58" s="5"/>
      <c r="G58" s="5"/>
      <c r="H58" s="5"/>
      <c r="I58" s="5"/>
      <c r="J58" s="5"/>
      <c r="K58" s="5"/>
      <c r="L58" s="5"/>
      <c r="M58" s="5"/>
      <c r="N58" s="5"/>
      <c r="O58" s="5"/>
      <c r="P58" s="5"/>
      <c r="Q58" s="8">
        <f>IF(COUNTA($A58:$B58,$E58,$H58,$K58,$N58,$F58,$I58,$L58,$O58)=0,"",IF($A58="","Nedostaje disciplina",IF($E58="","Nedostaje godište prvog člana",IF($C58="","Godište nije obuhvaćeno uzrasnom tabelom",IF(COUNTIF(INDIRECT("tdisc_"&amp;$C58),$A58)=0,"Disciplina nije moguća za uzrast "&amp;$C58,IF(IF($E58="",0,IF(LOOKUP($E58,INDEX(grupe,0,1),INDEX(grupe,0,2))=$C58,0,1))+IF($H58="",0,IF(LOOKUP($H58,INDEX(grupe,0,1),INDEX(grupe,0,2))=$C58,0,1))+IF($K58="",0,IF(LOOKUP($K58,INDEX(grupe,0,1),INDEX(grupe,0,2))=$C58,0,1))+IF($N58="",0,IF(LOOKUP($N58,INDEX(grupe,0,1),INDEX(grupe,0,2))=$C58,0,1))&gt;0,"Članovi ekipe nisu iz iste uzrasne grupe",IF(COUNTA($F58,$I58,$L58,$O58)&lt;&gt;COUNTA($E58,$H58,$K58,$N58),"Za svakog člana potrebni su i godište i ime",IF(IF(SUMPRODUCT(--ISERROR(FIND(MID($F58&amp;REPT("a",60),ROW($A$1:$A$60),1),"ABCDEFGHIJKLMNOPQRSTUVWXYZabcdefghijklmnopqrstuvwxyzČĆĐŠŽčćđšž -'")))=0,0,1)+IF(SUMPRODUCT(--ISERROR(FIND(MID($I58&amp;REPT("a",60),ROW($A$1:$A$60),1),"ABCDEFGHIJKLMNOPQRSTUVWXYZabcdefghijklmnopqrstuvwxyzČĆĐŠŽčćđšž -'")))=0,0,1)+IF(SUMPRODUCT(--ISERROR(FIND(MID($L58&amp;REPT("a",60),ROW($A$1:$A$60),1),"ABCDEFGHIJKLMNOPQRSTUVWXYZabcdefghijklmnopqrstuvwxyzČĆĐŠŽčćđšž -'")))=0,0,1)+IF(SUMPRODUCT(--ISERROR(FIND(MID($O58&amp;REPT("a",60),ROW($A$1:$A$60),1),"ABCDEFGHIJKLMNOPQRSTUVWXYZabcdefghijklmnopqrstuvwxyzČĆĐŠŽčćđšž -'")))=0,0,1)&gt;0,"Ime sadrži znakove koji nisu slova",IF(COUNTA($G58,$J58,$M58,$P58)&lt;&gt;COUNTA($F58,$I58,$L58,$O58),"Nedostaje pol za nekog od članova",IF(COUNTA($F58,$I58,$L58,$O58)&lt;VLOOKUP($A58,ekipe,2,FALSE),"Ekipa mora imati najmanje "&amp;VLOOKUP($A58,ekipe,2,FALSE)&amp;" člana",IF(COUNTA($F58,$I58,$L58,$O58)&gt;VLOOKUP($A58,ekipe,3,FALSE),"Ekipa može imati najviše "&amp;VLOOKUP($A58,ekipe,3,FALSE)&amp;" člana",IF($B58="","Nedostaje vrsta ekipe","prijava je kompletna")))))))))))</f>
        <v/>
      </c>
      <c r="R58">
        <f>IF($C58="","sve_ekipne","tdisc_"&amp;$C58)</f>
        <v/>
      </c>
    </row>
    <row r="59" spans="1:18">
      <c r="A59" s="5"/>
      <c r="B59" s="5"/>
      <c r="C59" s="7">
        <f>IF($E59="","",LOOKUP($E59,INDEX(grupe,0,1),INDEX(grupe,0,2)))</f>
        <v/>
      </c>
      <c r="D59" s="7">
        <f>IF($C59="","",VLOOKUP($C59,INDEX(grupe,0,2):INDEX(grupe,0,3),2,FALSE))</f>
        <v/>
      </c>
      <c r="E59" s="5"/>
      <c r="F59" s="5"/>
      <c r="G59" s="5"/>
      <c r="H59" s="5"/>
      <c r="I59" s="5"/>
      <c r="J59" s="5"/>
      <c r="K59" s="5"/>
      <c r="L59" s="5"/>
      <c r="M59" s="5"/>
      <c r="N59" s="5"/>
      <c r="O59" s="5"/>
      <c r="P59" s="5"/>
      <c r="Q59" s="8">
        <f>IF(COUNTA($A59:$B59,$E59,$H59,$K59,$N59,$F59,$I59,$L59,$O59)=0,"",IF($A59="","Nedostaje disciplina",IF($E59="","Nedostaje godište prvog člana",IF($C59="","Godište nije obuhvaćeno uzrasnom tabelom",IF(COUNTIF(INDIRECT("tdisc_"&amp;$C59),$A59)=0,"Disciplina nije moguća za uzrast "&amp;$C59,IF(IF($E59="",0,IF(LOOKUP($E59,INDEX(grupe,0,1),INDEX(grupe,0,2))=$C59,0,1))+IF($H59="",0,IF(LOOKUP($H59,INDEX(grupe,0,1),INDEX(grupe,0,2))=$C59,0,1))+IF($K59="",0,IF(LOOKUP($K59,INDEX(grupe,0,1),INDEX(grupe,0,2))=$C59,0,1))+IF($N59="",0,IF(LOOKUP($N59,INDEX(grupe,0,1),INDEX(grupe,0,2))=$C59,0,1))&gt;0,"Članovi ekipe nisu iz iste uzrasne grupe",IF(COUNTA($F59,$I59,$L59,$O59)&lt;&gt;COUNTA($E59,$H59,$K59,$N59),"Za svakog člana potrebni su i godište i ime",IF(IF(SUMPRODUCT(--ISERROR(FIND(MID($F59&amp;REPT("a",60),ROW($A$1:$A$60),1),"ABCDEFGHIJKLMNOPQRSTUVWXYZabcdefghijklmnopqrstuvwxyzČĆĐŠŽčćđšž -'")))=0,0,1)+IF(SUMPRODUCT(--ISERROR(FIND(MID($I59&amp;REPT("a",60),ROW($A$1:$A$60),1),"ABCDEFGHIJKLMNOPQRSTUVWXYZabcdefghijklmnopqrstuvwxyzČĆĐŠŽčćđšž -'")))=0,0,1)+IF(SUMPRODUCT(--ISERROR(FIND(MID($L59&amp;REPT("a",60),ROW($A$1:$A$60),1),"ABCDEFGHIJKLMNOPQRSTUVWXYZabcdefghijklmnopqrstuvwxyzČĆĐŠŽčćđšž -'")))=0,0,1)+IF(SUMPRODUCT(--ISERROR(FIND(MID($O59&amp;REPT("a",60),ROW($A$1:$A$60),1),"ABCDEFGHIJKLMNOPQRSTUVWXYZabcdefghijklmnopqrstuvwxyzČĆĐŠŽčćđšž -'")))=0,0,1)&gt;0,"Ime sadrži znakove koji nisu slova",IF(COUNTA($G59,$J59,$M59,$P59)&lt;&gt;COUNTA($F59,$I59,$L59,$O59),"Nedostaje pol za nekog od članova",IF(COUNTA($F59,$I59,$L59,$O59)&lt;VLOOKUP($A59,ekipe,2,FALSE),"Ekipa mora imati najmanje "&amp;VLOOKUP($A59,ekipe,2,FALSE)&amp;" člana",IF(COUNTA($F59,$I59,$L59,$O59)&gt;VLOOKUP($A59,ekipe,3,FALSE),"Ekipa može imati najviše "&amp;VLOOKUP($A59,ekipe,3,FALSE)&amp;" člana",IF($B59="","Nedostaje vrsta ekipe","prijava je kompletna")))))))))))</f>
        <v/>
      </c>
      <c r="R59">
        <f>IF($C59="","sve_ekipne","tdisc_"&amp;$C59)</f>
        <v/>
      </c>
    </row>
    <row r="60" spans="1:18">
      <c r="A60" s="5"/>
      <c r="B60" s="5"/>
      <c r="C60" s="7">
        <f>IF($E60="","",LOOKUP($E60,INDEX(grupe,0,1),INDEX(grupe,0,2)))</f>
        <v/>
      </c>
      <c r="D60" s="7">
        <f>IF($C60="","",VLOOKUP($C60,INDEX(grupe,0,2):INDEX(grupe,0,3),2,FALSE))</f>
        <v/>
      </c>
      <c r="E60" s="5"/>
      <c r="F60" s="5"/>
      <c r="G60" s="5"/>
      <c r="H60" s="5"/>
      <c r="I60" s="5"/>
      <c r="J60" s="5"/>
      <c r="K60" s="5"/>
      <c r="L60" s="5"/>
      <c r="M60" s="5"/>
      <c r="N60" s="5"/>
      <c r="O60" s="5"/>
      <c r="P60" s="5"/>
      <c r="Q60" s="8">
        <f>IF(COUNTA($A60:$B60,$E60,$H60,$K60,$N60,$F60,$I60,$L60,$O60)=0,"",IF($A60="","Nedostaje disciplina",IF($E60="","Nedostaje godište prvog člana",IF($C60="","Godište nije obuhvaćeno uzrasnom tabelom",IF(COUNTIF(INDIRECT("tdisc_"&amp;$C60),$A60)=0,"Disciplina nije moguća za uzrast "&amp;$C60,IF(IF($E60="",0,IF(LOOKUP($E60,INDEX(grupe,0,1),INDEX(grupe,0,2))=$C60,0,1))+IF($H60="",0,IF(LOOKUP($H60,INDEX(grupe,0,1),INDEX(grupe,0,2))=$C60,0,1))+IF($K60="",0,IF(LOOKUP($K60,INDEX(grupe,0,1),INDEX(grupe,0,2))=$C60,0,1))+IF($N60="",0,IF(LOOKUP($N60,INDEX(grupe,0,1),INDEX(grupe,0,2))=$C60,0,1))&gt;0,"Članovi ekipe nisu iz iste uzrasne grupe",IF(COUNTA($F60,$I60,$L60,$O60)&lt;&gt;COUNTA($E60,$H60,$K60,$N60),"Za svakog člana potrebni su i godište i ime",IF(IF(SUMPRODUCT(--ISERROR(FIND(MID($F60&amp;REPT("a",60),ROW($A$1:$A$60),1),"ABCDEFGHIJKLMNOPQRSTUVWXYZabcdefghijklmnopqrstuvwxyzČĆĐŠŽčćđšž -'")))=0,0,1)+IF(SUMPRODUCT(--ISERROR(FIND(MID($I60&amp;REPT("a",60),ROW($A$1:$A$60),1),"ABCDEFGHIJKLMNOPQRSTUVWXYZabcdefghijklmnopqrstuvwxyzČĆĐŠŽčćđšž -'")))=0,0,1)+IF(SUMPRODUCT(--ISERROR(FIND(MID($L60&amp;REPT("a",60),ROW($A$1:$A$60),1),"ABCDEFGHIJKLMNOPQRSTUVWXYZabcdefghijklmnopqrstuvwxyzČĆĐŠŽčćđšž -'")))=0,0,1)+IF(SUMPRODUCT(--ISERROR(FIND(MID($O60&amp;REPT("a",60),ROW($A$1:$A$60),1),"ABCDEFGHIJKLMNOPQRSTUVWXYZabcdefghijklmnopqrstuvwxyzČĆĐŠŽčćđšž -'")))=0,0,1)&gt;0,"Ime sadrži znakove koji nisu slova",IF(COUNTA($G60,$J60,$M60,$P60)&lt;&gt;COUNTA($F60,$I60,$L60,$O60),"Nedostaje pol za nekog od članova",IF(COUNTA($F60,$I60,$L60,$O60)&lt;VLOOKUP($A60,ekipe,2,FALSE),"Ekipa mora imati najmanje "&amp;VLOOKUP($A60,ekipe,2,FALSE)&amp;" člana",IF(COUNTA($F60,$I60,$L60,$O60)&gt;VLOOKUP($A60,ekipe,3,FALSE),"Ekipa može imati najviše "&amp;VLOOKUP($A60,ekipe,3,FALSE)&amp;" člana",IF($B60="","Nedostaje vrsta ekipe","prijava je kompletna")))))))))))</f>
        <v/>
      </c>
      <c r="R60">
        <f>IF($C60="","sve_ekipne","tdisc_"&amp;$C60)</f>
        <v/>
      </c>
    </row>
    <row r="61" spans="1:18">
      <c r="A61" s="5"/>
      <c r="B61" s="5"/>
      <c r="C61" s="7">
        <f>IF($E61="","",LOOKUP($E61,INDEX(grupe,0,1),INDEX(grupe,0,2)))</f>
        <v/>
      </c>
      <c r="D61" s="7">
        <f>IF($C61="","",VLOOKUP($C61,INDEX(grupe,0,2):INDEX(grupe,0,3),2,FALSE))</f>
        <v/>
      </c>
      <c r="E61" s="5"/>
      <c r="F61" s="5"/>
      <c r="G61" s="5"/>
      <c r="H61" s="5"/>
      <c r="I61" s="5"/>
      <c r="J61" s="5"/>
      <c r="K61" s="5"/>
      <c r="L61" s="5"/>
      <c r="M61" s="5"/>
      <c r="N61" s="5"/>
      <c r="O61" s="5"/>
      <c r="P61" s="5"/>
      <c r="Q61" s="8">
        <f>IF(COUNTA($A61:$B61,$E61,$H61,$K61,$N61,$F61,$I61,$L61,$O61)=0,"",IF($A61="","Nedostaje disciplina",IF($E61="","Nedostaje godište prvog člana",IF($C61="","Godište nije obuhvaćeno uzrasnom tabelom",IF(COUNTIF(INDIRECT("tdisc_"&amp;$C61),$A61)=0,"Disciplina nije moguća za uzrast "&amp;$C61,IF(IF($E61="",0,IF(LOOKUP($E61,INDEX(grupe,0,1),INDEX(grupe,0,2))=$C61,0,1))+IF($H61="",0,IF(LOOKUP($H61,INDEX(grupe,0,1),INDEX(grupe,0,2))=$C61,0,1))+IF($K61="",0,IF(LOOKUP($K61,INDEX(grupe,0,1),INDEX(grupe,0,2))=$C61,0,1))+IF($N61="",0,IF(LOOKUP($N61,INDEX(grupe,0,1),INDEX(grupe,0,2))=$C61,0,1))&gt;0,"Članovi ekipe nisu iz iste uzrasne grupe",IF(COUNTA($F61,$I61,$L61,$O61)&lt;&gt;COUNTA($E61,$H61,$K61,$N61),"Za svakog člana potrebni su i godište i ime",IF(IF(SUMPRODUCT(--ISERROR(FIND(MID($F61&amp;REPT("a",60),ROW($A$1:$A$60),1),"ABCDEFGHIJKLMNOPQRSTUVWXYZabcdefghijklmnopqrstuvwxyzČĆĐŠŽčćđšž -'")))=0,0,1)+IF(SUMPRODUCT(--ISERROR(FIND(MID($I61&amp;REPT("a",60),ROW($A$1:$A$60),1),"ABCDEFGHIJKLMNOPQRSTUVWXYZabcdefghijklmnopqrstuvwxyzČĆĐŠŽčćđšž -'")))=0,0,1)+IF(SUMPRODUCT(--ISERROR(FIND(MID($L61&amp;REPT("a",60),ROW($A$1:$A$60),1),"ABCDEFGHIJKLMNOPQRSTUVWXYZabcdefghijklmnopqrstuvwxyzČĆĐŠŽčćđšž -'")))=0,0,1)+IF(SUMPRODUCT(--ISERROR(FIND(MID($O61&amp;REPT("a",60),ROW($A$1:$A$60),1),"ABCDEFGHIJKLMNOPQRSTUVWXYZabcdefghijklmnopqrstuvwxyzČĆĐŠŽčćđšž -'")))=0,0,1)&gt;0,"Ime sadrži znakove koji nisu slova",IF(COUNTA($G61,$J61,$M61,$P61)&lt;&gt;COUNTA($F61,$I61,$L61,$O61),"Nedostaje pol za nekog od članova",IF(COUNTA($F61,$I61,$L61,$O61)&lt;VLOOKUP($A61,ekipe,2,FALSE),"Ekipa mora imati najmanje "&amp;VLOOKUP($A61,ekipe,2,FALSE)&amp;" člana",IF(COUNTA($F61,$I61,$L61,$O61)&gt;VLOOKUP($A61,ekipe,3,FALSE),"Ekipa može imati najviše "&amp;VLOOKUP($A61,ekipe,3,FALSE)&amp;" člana",IF($B61="","Nedostaje vrsta ekipe","prijava je kompletna")))))))))))</f>
        <v/>
      </c>
      <c r="R61">
        <f>IF($C61="","sve_ekipne","tdisc_"&amp;$C61)</f>
        <v/>
      </c>
    </row>
    <row r="62" spans="1:18">
      <c r="A62" s="5"/>
      <c r="B62" s="5"/>
      <c r="C62" s="7">
        <f>IF($E62="","",LOOKUP($E62,INDEX(grupe,0,1),INDEX(grupe,0,2)))</f>
        <v/>
      </c>
      <c r="D62" s="7">
        <f>IF($C62="","",VLOOKUP($C62,INDEX(grupe,0,2):INDEX(grupe,0,3),2,FALSE))</f>
        <v/>
      </c>
      <c r="E62" s="5"/>
      <c r="F62" s="5"/>
      <c r="G62" s="5"/>
      <c r="H62" s="5"/>
      <c r="I62" s="5"/>
      <c r="J62" s="5"/>
      <c r="K62" s="5"/>
      <c r="L62" s="5"/>
      <c r="M62" s="5"/>
      <c r="N62" s="5"/>
      <c r="O62" s="5"/>
      <c r="P62" s="5"/>
      <c r="Q62" s="8">
        <f>IF(COUNTA($A62:$B62,$E62,$H62,$K62,$N62,$F62,$I62,$L62,$O62)=0,"",IF($A62="","Nedostaje disciplina",IF($E62="","Nedostaje godište prvog člana",IF($C62="","Godište nije obuhvaćeno uzrasnom tabelom",IF(COUNTIF(INDIRECT("tdisc_"&amp;$C62),$A62)=0,"Disciplina nije moguća za uzrast "&amp;$C62,IF(IF($E62="",0,IF(LOOKUP($E62,INDEX(grupe,0,1),INDEX(grupe,0,2))=$C62,0,1))+IF($H62="",0,IF(LOOKUP($H62,INDEX(grupe,0,1),INDEX(grupe,0,2))=$C62,0,1))+IF($K62="",0,IF(LOOKUP($K62,INDEX(grupe,0,1),INDEX(grupe,0,2))=$C62,0,1))+IF($N62="",0,IF(LOOKUP($N62,INDEX(grupe,0,1),INDEX(grupe,0,2))=$C62,0,1))&gt;0,"Članovi ekipe nisu iz iste uzrasne grupe",IF(COUNTA($F62,$I62,$L62,$O62)&lt;&gt;COUNTA($E62,$H62,$K62,$N62),"Za svakog člana potrebni su i godište i ime",IF(IF(SUMPRODUCT(--ISERROR(FIND(MID($F62&amp;REPT("a",60),ROW($A$1:$A$60),1),"ABCDEFGHIJKLMNOPQRSTUVWXYZabcdefghijklmnopqrstuvwxyzČĆĐŠŽčćđšž -'")))=0,0,1)+IF(SUMPRODUCT(--ISERROR(FIND(MID($I62&amp;REPT("a",60),ROW($A$1:$A$60),1),"ABCDEFGHIJKLMNOPQRSTUVWXYZabcdefghijklmnopqrstuvwxyzČĆĐŠŽčćđšž -'")))=0,0,1)+IF(SUMPRODUCT(--ISERROR(FIND(MID($L62&amp;REPT("a",60),ROW($A$1:$A$60),1),"ABCDEFGHIJKLMNOPQRSTUVWXYZabcdefghijklmnopqrstuvwxyzČĆĐŠŽčćđšž -'")))=0,0,1)+IF(SUMPRODUCT(--ISERROR(FIND(MID($O62&amp;REPT("a",60),ROW($A$1:$A$60),1),"ABCDEFGHIJKLMNOPQRSTUVWXYZabcdefghijklmnopqrstuvwxyzČĆĐŠŽčćđšž -'")))=0,0,1)&gt;0,"Ime sadrži znakove koji nisu slova",IF(COUNTA($G62,$J62,$M62,$P62)&lt;&gt;COUNTA($F62,$I62,$L62,$O62),"Nedostaje pol za nekog od članova",IF(COUNTA($F62,$I62,$L62,$O62)&lt;VLOOKUP($A62,ekipe,2,FALSE),"Ekipa mora imati najmanje "&amp;VLOOKUP($A62,ekipe,2,FALSE)&amp;" člana",IF(COUNTA($F62,$I62,$L62,$O62)&gt;VLOOKUP($A62,ekipe,3,FALSE),"Ekipa može imati najviše "&amp;VLOOKUP($A62,ekipe,3,FALSE)&amp;" člana",IF($B62="","Nedostaje vrsta ekipe","prijava je kompletna")))))))))))</f>
        <v/>
      </c>
      <c r="R62">
        <f>IF($C62="","sve_ekipne","tdisc_"&amp;$C62)</f>
        <v/>
      </c>
    </row>
    <row r="63" spans="1:18">
      <c r="A63" s="5"/>
      <c r="B63" s="5"/>
      <c r="C63" s="7">
        <f>IF($E63="","",LOOKUP($E63,INDEX(grupe,0,1),INDEX(grupe,0,2)))</f>
        <v/>
      </c>
      <c r="D63" s="7">
        <f>IF($C63="","",VLOOKUP($C63,INDEX(grupe,0,2):INDEX(grupe,0,3),2,FALSE))</f>
        <v/>
      </c>
      <c r="E63" s="5"/>
      <c r="F63" s="5"/>
      <c r="G63" s="5"/>
      <c r="H63" s="5"/>
      <c r="I63" s="5"/>
      <c r="J63" s="5"/>
      <c r="K63" s="5"/>
      <c r="L63" s="5"/>
      <c r="M63" s="5"/>
      <c r="N63" s="5"/>
      <c r="O63" s="5"/>
      <c r="P63" s="5"/>
      <c r="Q63" s="8">
        <f>IF(COUNTA($A63:$B63,$E63,$H63,$K63,$N63,$F63,$I63,$L63,$O63)=0,"",IF($A63="","Nedostaje disciplina",IF($E63="","Nedostaje godište prvog člana",IF($C63="","Godište nije obuhvaćeno uzrasnom tabelom",IF(COUNTIF(INDIRECT("tdisc_"&amp;$C63),$A63)=0,"Disciplina nije moguća za uzrast "&amp;$C63,IF(IF($E63="",0,IF(LOOKUP($E63,INDEX(grupe,0,1),INDEX(grupe,0,2))=$C63,0,1))+IF($H63="",0,IF(LOOKUP($H63,INDEX(grupe,0,1),INDEX(grupe,0,2))=$C63,0,1))+IF($K63="",0,IF(LOOKUP($K63,INDEX(grupe,0,1),INDEX(grupe,0,2))=$C63,0,1))+IF($N63="",0,IF(LOOKUP($N63,INDEX(grupe,0,1),INDEX(grupe,0,2))=$C63,0,1))&gt;0,"Članovi ekipe nisu iz iste uzrasne grupe",IF(COUNTA($F63,$I63,$L63,$O63)&lt;&gt;COUNTA($E63,$H63,$K63,$N63),"Za svakog člana potrebni su i godište i ime",IF(IF(SUMPRODUCT(--ISERROR(FIND(MID($F63&amp;REPT("a",60),ROW($A$1:$A$60),1),"ABCDEFGHIJKLMNOPQRSTUVWXYZabcdefghijklmnopqrstuvwxyzČĆĐŠŽčćđšž -'")))=0,0,1)+IF(SUMPRODUCT(--ISERROR(FIND(MID($I63&amp;REPT("a",60),ROW($A$1:$A$60),1),"ABCDEFGHIJKLMNOPQRSTUVWXYZabcdefghijklmnopqrstuvwxyzČĆĐŠŽčćđšž -'")))=0,0,1)+IF(SUMPRODUCT(--ISERROR(FIND(MID($L63&amp;REPT("a",60),ROW($A$1:$A$60),1),"ABCDEFGHIJKLMNOPQRSTUVWXYZabcdefghijklmnopqrstuvwxyzČĆĐŠŽčćđšž -'")))=0,0,1)+IF(SUMPRODUCT(--ISERROR(FIND(MID($O63&amp;REPT("a",60),ROW($A$1:$A$60),1),"ABCDEFGHIJKLMNOPQRSTUVWXYZabcdefghijklmnopqrstuvwxyzČĆĐŠŽčćđšž -'")))=0,0,1)&gt;0,"Ime sadrži znakove koji nisu slova",IF(COUNTA($G63,$J63,$M63,$P63)&lt;&gt;COUNTA($F63,$I63,$L63,$O63),"Nedostaje pol za nekog od članova",IF(COUNTA($F63,$I63,$L63,$O63)&lt;VLOOKUP($A63,ekipe,2,FALSE),"Ekipa mora imati najmanje "&amp;VLOOKUP($A63,ekipe,2,FALSE)&amp;" člana",IF(COUNTA($F63,$I63,$L63,$O63)&gt;VLOOKUP($A63,ekipe,3,FALSE),"Ekipa može imati najviše "&amp;VLOOKUP($A63,ekipe,3,FALSE)&amp;" člana",IF($B63="","Nedostaje vrsta ekipe","prijava je kompletna")))))))))))</f>
        <v/>
      </c>
      <c r="R63">
        <f>IF($C63="","sve_ekipne","tdisc_"&amp;$C63)</f>
        <v/>
      </c>
    </row>
    <row r="64" spans="1:18">
      <c r="A64" s="5"/>
      <c r="B64" s="5"/>
      <c r="C64" s="7">
        <f>IF($E64="","",LOOKUP($E64,INDEX(grupe,0,1),INDEX(grupe,0,2)))</f>
        <v/>
      </c>
      <c r="D64" s="7">
        <f>IF($C64="","",VLOOKUP($C64,INDEX(grupe,0,2):INDEX(grupe,0,3),2,FALSE))</f>
        <v/>
      </c>
      <c r="E64" s="5"/>
      <c r="F64" s="5"/>
      <c r="G64" s="5"/>
      <c r="H64" s="5"/>
      <c r="I64" s="5"/>
      <c r="J64" s="5"/>
      <c r="K64" s="5"/>
      <c r="L64" s="5"/>
      <c r="M64" s="5"/>
      <c r="N64" s="5"/>
      <c r="O64" s="5"/>
      <c r="P64" s="5"/>
      <c r="Q64" s="8">
        <f>IF(COUNTA($A64:$B64,$E64,$H64,$K64,$N64,$F64,$I64,$L64,$O64)=0,"",IF($A64="","Nedostaje disciplina",IF($E64="","Nedostaje godište prvog člana",IF($C64="","Godište nije obuhvaćeno uzrasnom tabelom",IF(COUNTIF(INDIRECT("tdisc_"&amp;$C64),$A64)=0,"Disciplina nije moguća za uzrast "&amp;$C64,IF(IF($E64="",0,IF(LOOKUP($E64,INDEX(grupe,0,1),INDEX(grupe,0,2))=$C64,0,1))+IF($H64="",0,IF(LOOKUP($H64,INDEX(grupe,0,1),INDEX(grupe,0,2))=$C64,0,1))+IF($K64="",0,IF(LOOKUP($K64,INDEX(grupe,0,1),INDEX(grupe,0,2))=$C64,0,1))+IF($N64="",0,IF(LOOKUP($N64,INDEX(grupe,0,1),INDEX(grupe,0,2))=$C64,0,1))&gt;0,"Članovi ekipe nisu iz iste uzrasne grupe",IF(COUNTA($F64,$I64,$L64,$O64)&lt;&gt;COUNTA($E64,$H64,$K64,$N64),"Za svakog člana potrebni su i godište i ime",IF(IF(SUMPRODUCT(--ISERROR(FIND(MID($F64&amp;REPT("a",60),ROW($A$1:$A$60),1),"ABCDEFGHIJKLMNOPQRSTUVWXYZabcdefghijklmnopqrstuvwxyzČĆĐŠŽčćđšž -'")))=0,0,1)+IF(SUMPRODUCT(--ISERROR(FIND(MID($I64&amp;REPT("a",60),ROW($A$1:$A$60),1),"ABCDEFGHIJKLMNOPQRSTUVWXYZabcdefghijklmnopqrstuvwxyzČĆĐŠŽčćđšž -'")))=0,0,1)+IF(SUMPRODUCT(--ISERROR(FIND(MID($L64&amp;REPT("a",60),ROW($A$1:$A$60),1),"ABCDEFGHIJKLMNOPQRSTUVWXYZabcdefghijklmnopqrstuvwxyzČĆĐŠŽčćđšž -'")))=0,0,1)+IF(SUMPRODUCT(--ISERROR(FIND(MID($O64&amp;REPT("a",60),ROW($A$1:$A$60),1),"ABCDEFGHIJKLMNOPQRSTUVWXYZabcdefghijklmnopqrstuvwxyzČĆĐŠŽčćđšž -'")))=0,0,1)&gt;0,"Ime sadrži znakove koji nisu slova",IF(COUNTA($G64,$J64,$M64,$P64)&lt;&gt;COUNTA($F64,$I64,$L64,$O64),"Nedostaje pol za nekog od članova",IF(COUNTA($F64,$I64,$L64,$O64)&lt;VLOOKUP($A64,ekipe,2,FALSE),"Ekipa mora imati najmanje "&amp;VLOOKUP($A64,ekipe,2,FALSE)&amp;" člana",IF(COUNTA($F64,$I64,$L64,$O64)&gt;VLOOKUP($A64,ekipe,3,FALSE),"Ekipa može imati najviše "&amp;VLOOKUP($A64,ekipe,3,FALSE)&amp;" člana",IF($B64="","Nedostaje vrsta ekipe","prijava je kompletna")))))))))))</f>
        <v/>
      </c>
      <c r="R64">
        <f>IF($C64="","sve_ekipne","tdisc_"&amp;$C64)</f>
        <v/>
      </c>
    </row>
    <row r="65" spans="1:18">
      <c r="A65" s="5"/>
      <c r="B65" s="5"/>
      <c r="C65" s="7">
        <f>IF($E65="","",LOOKUP($E65,INDEX(grupe,0,1),INDEX(grupe,0,2)))</f>
        <v/>
      </c>
      <c r="D65" s="7">
        <f>IF($C65="","",VLOOKUP($C65,INDEX(grupe,0,2):INDEX(grupe,0,3),2,FALSE))</f>
        <v/>
      </c>
      <c r="E65" s="5"/>
      <c r="F65" s="5"/>
      <c r="G65" s="5"/>
      <c r="H65" s="5"/>
      <c r="I65" s="5"/>
      <c r="J65" s="5"/>
      <c r="K65" s="5"/>
      <c r="L65" s="5"/>
      <c r="M65" s="5"/>
      <c r="N65" s="5"/>
      <c r="O65" s="5"/>
      <c r="P65" s="5"/>
      <c r="Q65" s="8">
        <f>IF(COUNTA($A65:$B65,$E65,$H65,$K65,$N65,$F65,$I65,$L65,$O65)=0,"",IF($A65="","Nedostaje disciplina",IF($E65="","Nedostaje godište prvog člana",IF($C65="","Godište nije obuhvaćeno uzrasnom tabelom",IF(COUNTIF(INDIRECT("tdisc_"&amp;$C65),$A65)=0,"Disciplina nije moguća za uzrast "&amp;$C65,IF(IF($E65="",0,IF(LOOKUP($E65,INDEX(grupe,0,1),INDEX(grupe,0,2))=$C65,0,1))+IF($H65="",0,IF(LOOKUP($H65,INDEX(grupe,0,1),INDEX(grupe,0,2))=$C65,0,1))+IF($K65="",0,IF(LOOKUP($K65,INDEX(grupe,0,1),INDEX(grupe,0,2))=$C65,0,1))+IF($N65="",0,IF(LOOKUP($N65,INDEX(grupe,0,1),INDEX(grupe,0,2))=$C65,0,1))&gt;0,"Članovi ekipe nisu iz iste uzrasne grupe",IF(COUNTA($F65,$I65,$L65,$O65)&lt;&gt;COUNTA($E65,$H65,$K65,$N65),"Za svakog člana potrebni su i godište i ime",IF(IF(SUMPRODUCT(--ISERROR(FIND(MID($F65&amp;REPT("a",60),ROW($A$1:$A$60),1),"ABCDEFGHIJKLMNOPQRSTUVWXYZabcdefghijklmnopqrstuvwxyzČĆĐŠŽčćđšž -'")))=0,0,1)+IF(SUMPRODUCT(--ISERROR(FIND(MID($I65&amp;REPT("a",60),ROW($A$1:$A$60),1),"ABCDEFGHIJKLMNOPQRSTUVWXYZabcdefghijklmnopqrstuvwxyzČĆĐŠŽčćđšž -'")))=0,0,1)+IF(SUMPRODUCT(--ISERROR(FIND(MID($L65&amp;REPT("a",60),ROW($A$1:$A$60),1),"ABCDEFGHIJKLMNOPQRSTUVWXYZabcdefghijklmnopqrstuvwxyzČĆĐŠŽčćđšž -'")))=0,0,1)+IF(SUMPRODUCT(--ISERROR(FIND(MID($O65&amp;REPT("a",60),ROW($A$1:$A$60),1),"ABCDEFGHIJKLMNOPQRSTUVWXYZabcdefghijklmnopqrstuvwxyzČĆĐŠŽčćđšž -'")))=0,0,1)&gt;0,"Ime sadrži znakove koji nisu slova",IF(COUNTA($G65,$J65,$M65,$P65)&lt;&gt;COUNTA($F65,$I65,$L65,$O65),"Nedostaje pol za nekog od članova",IF(COUNTA($F65,$I65,$L65,$O65)&lt;VLOOKUP($A65,ekipe,2,FALSE),"Ekipa mora imati najmanje "&amp;VLOOKUP($A65,ekipe,2,FALSE)&amp;" člana",IF(COUNTA($F65,$I65,$L65,$O65)&gt;VLOOKUP($A65,ekipe,3,FALSE),"Ekipa može imati najviše "&amp;VLOOKUP($A65,ekipe,3,FALSE)&amp;" člana",IF($B65="","Nedostaje vrsta ekipe","prijava je kompletna")))))))))))</f>
        <v/>
      </c>
      <c r="R65">
        <f>IF($C65="","sve_ekipne","tdisc_"&amp;$C65)</f>
        <v/>
      </c>
    </row>
    <row r="66" spans="1:18">
      <c r="A66" s="5"/>
      <c r="B66" s="5"/>
      <c r="C66" s="7">
        <f>IF($E66="","",LOOKUP($E66,INDEX(grupe,0,1),INDEX(grupe,0,2)))</f>
        <v/>
      </c>
      <c r="D66" s="7">
        <f>IF($C66="","",VLOOKUP($C66,INDEX(grupe,0,2):INDEX(grupe,0,3),2,FALSE))</f>
        <v/>
      </c>
      <c r="E66" s="5"/>
      <c r="F66" s="5"/>
      <c r="G66" s="5"/>
      <c r="H66" s="5"/>
      <c r="I66" s="5"/>
      <c r="J66" s="5"/>
      <c r="K66" s="5"/>
      <c r="L66" s="5"/>
      <c r="M66" s="5"/>
      <c r="N66" s="5"/>
      <c r="O66" s="5"/>
      <c r="P66" s="5"/>
      <c r="Q66" s="8">
        <f>IF(COUNTA($A66:$B66,$E66,$H66,$K66,$N66,$F66,$I66,$L66,$O66)=0,"",IF($A66="","Nedostaje disciplina",IF($E66="","Nedostaje godište prvog člana",IF($C66="","Godište nije obuhvaćeno uzrasnom tabelom",IF(COUNTIF(INDIRECT("tdisc_"&amp;$C66),$A66)=0,"Disciplina nije moguća za uzrast "&amp;$C66,IF(IF($E66="",0,IF(LOOKUP($E66,INDEX(grupe,0,1),INDEX(grupe,0,2))=$C66,0,1))+IF($H66="",0,IF(LOOKUP($H66,INDEX(grupe,0,1),INDEX(grupe,0,2))=$C66,0,1))+IF($K66="",0,IF(LOOKUP($K66,INDEX(grupe,0,1),INDEX(grupe,0,2))=$C66,0,1))+IF($N66="",0,IF(LOOKUP($N66,INDEX(grupe,0,1),INDEX(grupe,0,2))=$C66,0,1))&gt;0,"Članovi ekipe nisu iz iste uzrasne grupe",IF(COUNTA($F66,$I66,$L66,$O66)&lt;&gt;COUNTA($E66,$H66,$K66,$N66),"Za svakog člana potrebni su i godište i ime",IF(IF(SUMPRODUCT(--ISERROR(FIND(MID($F66&amp;REPT("a",60),ROW($A$1:$A$60),1),"ABCDEFGHIJKLMNOPQRSTUVWXYZabcdefghijklmnopqrstuvwxyzČĆĐŠŽčćđšž -'")))=0,0,1)+IF(SUMPRODUCT(--ISERROR(FIND(MID($I66&amp;REPT("a",60),ROW($A$1:$A$60),1),"ABCDEFGHIJKLMNOPQRSTUVWXYZabcdefghijklmnopqrstuvwxyzČĆĐŠŽčćđšž -'")))=0,0,1)+IF(SUMPRODUCT(--ISERROR(FIND(MID($L66&amp;REPT("a",60),ROW($A$1:$A$60),1),"ABCDEFGHIJKLMNOPQRSTUVWXYZabcdefghijklmnopqrstuvwxyzČĆĐŠŽčćđšž -'")))=0,0,1)+IF(SUMPRODUCT(--ISERROR(FIND(MID($O66&amp;REPT("a",60),ROW($A$1:$A$60),1),"ABCDEFGHIJKLMNOPQRSTUVWXYZabcdefghijklmnopqrstuvwxyzČĆĐŠŽčćđšž -'")))=0,0,1)&gt;0,"Ime sadrži znakove koji nisu slova",IF(COUNTA($G66,$J66,$M66,$P66)&lt;&gt;COUNTA($F66,$I66,$L66,$O66),"Nedostaje pol za nekog od članova",IF(COUNTA($F66,$I66,$L66,$O66)&lt;VLOOKUP($A66,ekipe,2,FALSE),"Ekipa mora imati najmanje "&amp;VLOOKUP($A66,ekipe,2,FALSE)&amp;" člana",IF(COUNTA($F66,$I66,$L66,$O66)&gt;VLOOKUP($A66,ekipe,3,FALSE),"Ekipa može imati najviše "&amp;VLOOKUP($A66,ekipe,3,FALSE)&amp;" člana",IF($B66="","Nedostaje vrsta ekipe","prijava je kompletna")))))))))))</f>
        <v/>
      </c>
      <c r="R66">
        <f>IF($C66="","sve_ekipne","tdisc_"&amp;$C66)</f>
        <v/>
      </c>
    </row>
    <row r="67" spans="1:18">
      <c r="A67" s="5"/>
      <c r="B67" s="5"/>
      <c r="C67" s="7">
        <f>IF($E67="","",LOOKUP($E67,INDEX(grupe,0,1),INDEX(grupe,0,2)))</f>
        <v/>
      </c>
      <c r="D67" s="7">
        <f>IF($C67="","",VLOOKUP($C67,INDEX(grupe,0,2):INDEX(grupe,0,3),2,FALSE))</f>
        <v/>
      </c>
      <c r="E67" s="5"/>
      <c r="F67" s="5"/>
      <c r="G67" s="5"/>
      <c r="H67" s="5"/>
      <c r="I67" s="5"/>
      <c r="J67" s="5"/>
      <c r="K67" s="5"/>
      <c r="L67" s="5"/>
      <c r="M67" s="5"/>
      <c r="N67" s="5"/>
      <c r="O67" s="5"/>
      <c r="P67" s="5"/>
      <c r="Q67" s="8">
        <f>IF(COUNTA($A67:$B67,$E67,$H67,$K67,$N67,$F67,$I67,$L67,$O67)=0,"",IF($A67="","Nedostaje disciplina",IF($E67="","Nedostaje godište prvog člana",IF($C67="","Godište nije obuhvaćeno uzrasnom tabelom",IF(COUNTIF(INDIRECT("tdisc_"&amp;$C67),$A67)=0,"Disciplina nije moguća za uzrast "&amp;$C67,IF(IF($E67="",0,IF(LOOKUP($E67,INDEX(grupe,0,1),INDEX(grupe,0,2))=$C67,0,1))+IF($H67="",0,IF(LOOKUP($H67,INDEX(grupe,0,1),INDEX(grupe,0,2))=$C67,0,1))+IF($K67="",0,IF(LOOKUP($K67,INDEX(grupe,0,1),INDEX(grupe,0,2))=$C67,0,1))+IF($N67="",0,IF(LOOKUP($N67,INDEX(grupe,0,1),INDEX(grupe,0,2))=$C67,0,1))&gt;0,"Članovi ekipe nisu iz iste uzrasne grupe",IF(COUNTA($F67,$I67,$L67,$O67)&lt;&gt;COUNTA($E67,$H67,$K67,$N67),"Za svakog člana potrebni su i godište i ime",IF(IF(SUMPRODUCT(--ISERROR(FIND(MID($F67&amp;REPT("a",60),ROW($A$1:$A$60),1),"ABCDEFGHIJKLMNOPQRSTUVWXYZabcdefghijklmnopqrstuvwxyzČĆĐŠŽčćđšž -'")))=0,0,1)+IF(SUMPRODUCT(--ISERROR(FIND(MID($I67&amp;REPT("a",60),ROW($A$1:$A$60),1),"ABCDEFGHIJKLMNOPQRSTUVWXYZabcdefghijklmnopqrstuvwxyzČĆĐŠŽčćđšž -'")))=0,0,1)+IF(SUMPRODUCT(--ISERROR(FIND(MID($L67&amp;REPT("a",60),ROW($A$1:$A$60),1),"ABCDEFGHIJKLMNOPQRSTUVWXYZabcdefghijklmnopqrstuvwxyzČĆĐŠŽčćđšž -'")))=0,0,1)+IF(SUMPRODUCT(--ISERROR(FIND(MID($O67&amp;REPT("a",60),ROW($A$1:$A$60),1),"ABCDEFGHIJKLMNOPQRSTUVWXYZabcdefghijklmnopqrstuvwxyzČĆĐŠŽčćđšž -'")))=0,0,1)&gt;0,"Ime sadrži znakove koji nisu slova",IF(COUNTA($G67,$J67,$M67,$P67)&lt;&gt;COUNTA($F67,$I67,$L67,$O67),"Nedostaje pol za nekog od članova",IF(COUNTA($F67,$I67,$L67,$O67)&lt;VLOOKUP($A67,ekipe,2,FALSE),"Ekipa mora imati najmanje "&amp;VLOOKUP($A67,ekipe,2,FALSE)&amp;" člana",IF(COUNTA($F67,$I67,$L67,$O67)&gt;VLOOKUP($A67,ekipe,3,FALSE),"Ekipa može imati najviše "&amp;VLOOKUP($A67,ekipe,3,FALSE)&amp;" člana",IF($B67="","Nedostaje vrsta ekipe","prijava je kompletna")))))))))))</f>
        <v/>
      </c>
      <c r="R67">
        <f>IF($C67="","sve_ekipne","tdisc_"&amp;$C67)</f>
        <v/>
      </c>
    </row>
    <row r="68" spans="1:18">
      <c r="A68" s="5"/>
      <c r="B68" s="5"/>
      <c r="C68" s="7">
        <f>IF($E68="","",LOOKUP($E68,INDEX(grupe,0,1),INDEX(grupe,0,2)))</f>
        <v/>
      </c>
      <c r="D68" s="7">
        <f>IF($C68="","",VLOOKUP($C68,INDEX(grupe,0,2):INDEX(grupe,0,3),2,FALSE))</f>
        <v/>
      </c>
      <c r="E68" s="5"/>
      <c r="F68" s="5"/>
      <c r="G68" s="5"/>
      <c r="H68" s="5"/>
      <c r="I68" s="5"/>
      <c r="J68" s="5"/>
      <c r="K68" s="5"/>
      <c r="L68" s="5"/>
      <c r="M68" s="5"/>
      <c r="N68" s="5"/>
      <c r="O68" s="5"/>
      <c r="P68" s="5"/>
      <c r="Q68" s="8">
        <f>IF(COUNTA($A68:$B68,$E68,$H68,$K68,$N68,$F68,$I68,$L68,$O68)=0,"",IF($A68="","Nedostaje disciplina",IF($E68="","Nedostaje godište prvog člana",IF($C68="","Godište nije obuhvaćeno uzrasnom tabelom",IF(COUNTIF(INDIRECT("tdisc_"&amp;$C68),$A68)=0,"Disciplina nije moguća za uzrast "&amp;$C68,IF(IF($E68="",0,IF(LOOKUP($E68,INDEX(grupe,0,1),INDEX(grupe,0,2))=$C68,0,1))+IF($H68="",0,IF(LOOKUP($H68,INDEX(grupe,0,1),INDEX(grupe,0,2))=$C68,0,1))+IF($K68="",0,IF(LOOKUP($K68,INDEX(grupe,0,1),INDEX(grupe,0,2))=$C68,0,1))+IF($N68="",0,IF(LOOKUP($N68,INDEX(grupe,0,1),INDEX(grupe,0,2))=$C68,0,1))&gt;0,"Članovi ekipe nisu iz iste uzrasne grupe",IF(COUNTA($F68,$I68,$L68,$O68)&lt;&gt;COUNTA($E68,$H68,$K68,$N68),"Za svakog člana potrebni su i godište i ime",IF(IF(SUMPRODUCT(--ISERROR(FIND(MID($F68&amp;REPT("a",60),ROW($A$1:$A$60),1),"ABCDEFGHIJKLMNOPQRSTUVWXYZabcdefghijklmnopqrstuvwxyzČĆĐŠŽčćđšž -'")))=0,0,1)+IF(SUMPRODUCT(--ISERROR(FIND(MID($I68&amp;REPT("a",60),ROW($A$1:$A$60),1),"ABCDEFGHIJKLMNOPQRSTUVWXYZabcdefghijklmnopqrstuvwxyzČĆĐŠŽčćđšž -'")))=0,0,1)+IF(SUMPRODUCT(--ISERROR(FIND(MID($L68&amp;REPT("a",60),ROW($A$1:$A$60),1),"ABCDEFGHIJKLMNOPQRSTUVWXYZabcdefghijklmnopqrstuvwxyzČĆĐŠŽčćđšž -'")))=0,0,1)+IF(SUMPRODUCT(--ISERROR(FIND(MID($O68&amp;REPT("a",60),ROW($A$1:$A$60),1),"ABCDEFGHIJKLMNOPQRSTUVWXYZabcdefghijklmnopqrstuvwxyzČĆĐŠŽčćđšž -'")))=0,0,1)&gt;0,"Ime sadrži znakove koji nisu slova",IF(COUNTA($G68,$J68,$M68,$P68)&lt;&gt;COUNTA($F68,$I68,$L68,$O68),"Nedostaje pol za nekog od članova",IF(COUNTA($F68,$I68,$L68,$O68)&lt;VLOOKUP($A68,ekipe,2,FALSE),"Ekipa mora imati najmanje "&amp;VLOOKUP($A68,ekipe,2,FALSE)&amp;" člana",IF(COUNTA($F68,$I68,$L68,$O68)&gt;VLOOKUP($A68,ekipe,3,FALSE),"Ekipa može imati najviše "&amp;VLOOKUP($A68,ekipe,3,FALSE)&amp;" člana",IF($B68="","Nedostaje vrsta ekipe","prijava je kompletna")))))))))))</f>
        <v/>
      </c>
      <c r="R68">
        <f>IF($C68="","sve_ekipne","tdisc_"&amp;$C68)</f>
        <v/>
      </c>
    </row>
    <row r="69" spans="1:18">
      <c r="A69" s="5"/>
      <c r="B69" s="5"/>
      <c r="C69" s="7">
        <f>IF($E69="","",LOOKUP($E69,INDEX(grupe,0,1),INDEX(grupe,0,2)))</f>
        <v/>
      </c>
      <c r="D69" s="7">
        <f>IF($C69="","",VLOOKUP($C69,INDEX(grupe,0,2):INDEX(grupe,0,3),2,FALSE))</f>
        <v/>
      </c>
      <c r="E69" s="5"/>
      <c r="F69" s="5"/>
      <c r="G69" s="5"/>
      <c r="H69" s="5"/>
      <c r="I69" s="5"/>
      <c r="J69" s="5"/>
      <c r="K69" s="5"/>
      <c r="L69" s="5"/>
      <c r="M69" s="5"/>
      <c r="N69" s="5"/>
      <c r="O69" s="5"/>
      <c r="P69" s="5"/>
      <c r="Q69" s="8">
        <f>IF(COUNTA($A69:$B69,$E69,$H69,$K69,$N69,$F69,$I69,$L69,$O69)=0,"",IF($A69="","Nedostaje disciplina",IF($E69="","Nedostaje godište prvog člana",IF($C69="","Godište nije obuhvaćeno uzrasnom tabelom",IF(COUNTIF(INDIRECT("tdisc_"&amp;$C69),$A69)=0,"Disciplina nije moguća za uzrast "&amp;$C69,IF(IF($E69="",0,IF(LOOKUP($E69,INDEX(grupe,0,1),INDEX(grupe,0,2))=$C69,0,1))+IF($H69="",0,IF(LOOKUP($H69,INDEX(grupe,0,1),INDEX(grupe,0,2))=$C69,0,1))+IF($K69="",0,IF(LOOKUP($K69,INDEX(grupe,0,1),INDEX(grupe,0,2))=$C69,0,1))+IF($N69="",0,IF(LOOKUP($N69,INDEX(grupe,0,1),INDEX(grupe,0,2))=$C69,0,1))&gt;0,"Članovi ekipe nisu iz iste uzrasne grupe",IF(COUNTA($F69,$I69,$L69,$O69)&lt;&gt;COUNTA($E69,$H69,$K69,$N69),"Za svakog člana potrebni su i godište i ime",IF(IF(SUMPRODUCT(--ISERROR(FIND(MID($F69&amp;REPT("a",60),ROW($A$1:$A$60),1),"ABCDEFGHIJKLMNOPQRSTUVWXYZabcdefghijklmnopqrstuvwxyzČĆĐŠŽčćđšž -'")))=0,0,1)+IF(SUMPRODUCT(--ISERROR(FIND(MID($I69&amp;REPT("a",60),ROW($A$1:$A$60),1),"ABCDEFGHIJKLMNOPQRSTUVWXYZabcdefghijklmnopqrstuvwxyzČĆĐŠŽčćđšž -'")))=0,0,1)+IF(SUMPRODUCT(--ISERROR(FIND(MID($L69&amp;REPT("a",60),ROW($A$1:$A$60),1),"ABCDEFGHIJKLMNOPQRSTUVWXYZabcdefghijklmnopqrstuvwxyzČĆĐŠŽčćđšž -'")))=0,0,1)+IF(SUMPRODUCT(--ISERROR(FIND(MID($O69&amp;REPT("a",60),ROW($A$1:$A$60),1),"ABCDEFGHIJKLMNOPQRSTUVWXYZabcdefghijklmnopqrstuvwxyzČĆĐŠŽčćđšž -'")))=0,0,1)&gt;0,"Ime sadrži znakove koji nisu slova",IF(COUNTA($G69,$J69,$M69,$P69)&lt;&gt;COUNTA($F69,$I69,$L69,$O69),"Nedostaje pol za nekog od članova",IF(COUNTA($F69,$I69,$L69,$O69)&lt;VLOOKUP($A69,ekipe,2,FALSE),"Ekipa mora imati najmanje "&amp;VLOOKUP($A69,ekipe,2,FALSE)&amp;" člana",IF(COUNTA($F69,$I69,$L69,$O69)&gt;VLOOKUP($A69,ekipe,3,FALSE),"Ekipa može imati najviše "&amp;VLOOKUP($A69,ekipe,3,FALSE)&amp;" člana",IF($B69="","Nedostaje vrsta ekipe","prijava je kompletna")))))))))))</f>
        <v/>
      </c>
      <c r="R69">
        <f>IF($C69="","sve_ekipne","tdisc_"&amp;$C69)</f>
        <v/>
      </c>
    </row>
    <row r="70" spans="1:18">
      <c r="A70" s="5"/>
      <c r="B70" s="5"/>
      <c r="C70" s="7">
        <f>IF($E70="","",LOOKUP($E70,INDEX(grupe,0,1),INDEX(grupe,0,2)))</f>
        <v/>
      </c>
      <c r="D70" s="7">
        <f>IF($C70="","",VLOOKUP($C70,INDEX(grupe,0,2):INDEX(grupe,0,3),2,FALSE))</f>
        <v/>
      </c>
      <c r="E70" s="5"/>
      <c r="F70" s="5"/>
      <c r="G70" s="5"/>
      <c r="H70" s="5"/>
      <c r="I70" s="5"/>
      <c r="J70" s="5"/>
      <c r="K70" s="5"/>
      <c r="L70" s="5"/>
      <c r="M70" s="5"/>
      <c r="N70" s="5"/>
      <c r="O70" s="5"/>
      <c r="P70" s="5"/>
      <c r="Q70" s="8">
        <f>IF(COUNTA($A70:$B70,$E70,$H70,$K70,$N70,$F70,$I70,$L70,$O70)=0,"",IF($A70="","Nedostaje disciplina",IF($E70="","Nedostaje godište prvog člana",IF($C70="","Godište nije obuhvaćeno uzrasnom tabelom",IF(COUNTIF(INDIRECT("tdisc_"&amp;$C70),$A70)=0,"Disciplina nije moguća za uzrast "&amp;$C70,IF(IF($E70="",0,IF(LOOKUP($E70,INDEX(grupe,0,1),INDEX(grupe,0,2))=$C70,0,1))+IF($H70="",0,IF(LOOKUP($H70,INDEX(grupe,0,1),INDEX(grupe,0,2))=$C70,0,1))+IF($K70="",0,IF(LOOKUP($K70,INDEX(grupe,0,1),INDEX(grupe,0,2))=$C70,0,1))+IF($N70="",0,IF(LOOKUP($N70,INDEX(grupe,0,1),INDEX(grupe,0,2))=$C70,0,1))&gt;0,"Članovi ekipe nisu iz iste uzrasne grupe",IF(COUNTA($F70,$I70,$L70,$O70)&lt;&gt;COUNTA($E70,$H70,$K70,$N70),"Za svakog člana potrebni su i godište i ime",IF(IF(SUMPRODUCT(--ISERROR(FIND(MID($F70&amp;REPT("a",60),ROW($A$1:$A$60),1),"ABCDEFGHIJKLMNOPQRSTUVWXYZabcdefghijklmnopqrstuvwxyzČĆĐŠŽčćđšž -'")))=0,0,1)+IF(SUMPRODUCT(--ISERROR(FIND(MID($I70&amp;REPT("a",60),ROW($A$1:$A$60),1),"ABCDEFGHIJKLMNOPQRSTUVWXYZabcdefghijklmnopqrstuvwxyzČĆĐŠŽčćđšž -'")))=0,0,1)+IF(SUMPRODUCT(--ISERROR(FIND(MID($L70&amp;REPT("a",60),ROW($A$1:$A$60),1),"ABCDEFGHIJKLMNOPQRSTUVWXYZabcdefghijklmnopqrstuvwxyzČĆĐŠŽčćđšž -'")))=0,0,1)+IF(SUMPRODUCT(--ISERROR(FIND(MID($O70&amp;REPT("a",60),ROW($A$1:$A$60),1),"ABCDEFGHIJKLMNOPQRSTUVWXYZabcdefghijklmnopqrstuvwxyzČĆĐŠŽčćđšž -'")))=0,0,1)&gt;0,"Ime sadrži znakove koji nisu slova",IF(COUNTA($G70,$J70,$M70,$P70)&lt;&gt;COUNTA($F70,$I70,$L70,$O70),"Nedostaje pol za nekog od članova",IF(COUNTA($F70,$I70,$L70,$O70)&lt;VLOOKUP($A70,ekipe,2,FALSE),"Ekipa mora imati najmanje "&amp;VLOOKUP($A70,ekipe,2,FALSE)&amp;" člana",IF(COUNTA($F70,$I70,$L70,$O70)&gt;VLOOKUP($A70,ekipe,3,FALSE),"Ekipa može imati najviše "&amp;VLOOKUP($A70,ekipe,3,FALSE)&amp;" člana",IF($B70="","Nedostaje vrsta ekipe","prijava je kompletna")))))))))))</f>
        <v/>
      </c>
      <c r="R70">
        <f>IF($C70="","sve_ekipne","tdisc_"&amp;$C70)</f>
        <v/>
      </c>
    </row>
    <row r="71" spans="1:18">
      <c r="A71" s="5"/>
      <c r="B71" s="5"/>
      <c r="C71" s="7">
        <f>IF($E71="","",LOOKUP($E71,INDEX(grupe,0,1),INDEX(grupe,0,2)))</f>
        <v/>
      </c>
      <c r="D71" s="7">
        <f>IF($C71="","",VLOOKUP($C71,INDEX(grupe,0,2):INDEX(grupe,0,3),2,FALSE))</f>
        <v/>
      </c>
      <c r="E71" s="5"/>
      <c r="F71" s="5"/>
      <c r="G71" s="5"/>
      <c r="H71" s="5"/>
      <c r="I71" s="5"/>
      <c r="J71" s="5"/>
      <c r="K71" s="5"/>
      <c r="L71" s="5"/>
      <c r="M71" s="5"/>
      <c r="N71" s="5"/>
      <c r="O71" s="5"/>
      <c r="P71" s="5"/>
      <c r="Q71" s="8">
        <f>IF(COUNTA($A71:$B71,$E71,$H71,$K71,$N71,$F71,$I71,$L71,$O71)=0,"",IF($A71="","Nedostaje disciplina",IF($E71="","Nedostaje godište prvog člana",IF($C71="","Godište nije obuhvaćeno uzrasnom tabelom",IF(COUNTIF(INDIRECT("tdisc_"&amp;$C71),$A71)=0,"Disciplina nije moguća za uzrast "&amp;$C71,IF(IF($E71="",0,IF(LOOKUP($E71,INDEX(grupe,0,1),INDEX(grupe,0,2))=$C71,0,1))+IF($H71="",0,IF(LOOKUP($H71,INDEX(grupe,0,1),INDEX(grupe,0,2))=$C71,0,1))+IF($K71="",0,IF(LOOKUP($K71,INDEX(grupe,0,1),INDEX(grupe,0,2))=$C71,0,1))+IF($N71="",0,IF(LOOKUP($N71,INDEX(grupe,0,1),INDEX(grupe,0,2))=$C71,0,1))&gt;0,"Članovi ekipe nisu iz iste uzrasne grupe",IF(COUNTA($F71,$I71,$L71,$O71)&lt;&gt;COUNTA($E71,$H71,$K71,$N71),"Za svakog člana potrebni su i godište i ime",IF(IF(SUMPRODUCT(--ISERROR(FIND(MID($F71&amp;REPT("a",60),ROW($A$1:$A$60),1),"ABCDEFGHIJKLMNOPQRSTUVWXYZabcdefghijklmnopqrstuvwxyzČĆĐŠŽčćđšž -'")))=0,0,1)+IF(SUMPRODUCT(--ISERROR(FIND(MID($I71&amp;REPT("a",60),ROW($A$1:$A$60),1),"ABCDEFGHIJKLMNOPQRSTUVWXYZabcdefghijklmnopqrstuvwxyzČĆĐŠŽčćđšž -'")))=0,0,1)+IF(SUMPRODUCT(--ISERROR(FIND(MID($L71&amp;REPT("a",60),ROW($A$1:$A$60),1),"ABCDEFGHIJKLMNOPQRSTUVWXYZabcdefghijklmnopqrstuvwxyzČĆĐŠŽčćđšž -'")))=0,0,1)+IF(SUMPRODUCT(--ISERROR(FIND(MID($O71&amp;REPT("a",60),ROW($A$1:$A$60),1),"ABCDEFGHIJKLMNOPQRSTUVWXYZabcdefghijklmnopqrstuvwxyzČĆĐŠŽčćđšž -'")))=0,0,1)&gt;0,"Ime sadrži znakove koji nisu slova",IF(COUNTA($G71,$J71,$M71,$P71)&lt;&gt;COUNTA($F71,$I71,$L71,$O71),"Nedostaje pol za nekog od članova",IF(COUNTA($F71,$I71,$L71,$O71)&lt;VLOOKUP($A71,ekipe,2,FALSE),"Ekipa mora imati najmanje "&amp;VLOOKUP($A71,ekipe,2,FALSE)&amp;" člana",IF(COUNTA($F71,$I71,$L71,$O71)&gt;VLOOKUP($A71,ekipe,3,FALSE),"Ekipa može imati najviše "&amp;VLOOKUP($A71,ekipe,3,FALSE)&amp;" člana",IF($B71="","Nedostaje vrsta ekipe","prijava je kompletna")))))))))))</f>
        <v/>
      </c>
      <c r="R71">
        <f>IF($C71="","sve_ekipne","tdisc_"&amp;$C71)</f>
        <v/>
      </c>
    </row>
    <row r="72" spans="1:18">
      <c r="A72" s="5"/>
      <c r="B72" s="5"/>
      <c r="C72" s="7">
        <f>IF($E72="","",LOOKUP($E72,INDEX(grupe,0,1),INDEX(grupe,0,2)))</f>
        <v/>
      </c>
      <c r="D72" s="7">
        <f>IF($C72="","",VLOOKUP($C72,INDEX(grupe,0,2):INDEX(grupe,0,3),2,FALSE))</f>
        <v/>
      </c>
      <c r="E72" s="5"/>
      <c r="F72" s="5"/>
      <c r="G72" s="5"/>
      <c r="H72" s="5"/>
      <c r="I72" s="5"/>
      <c r="J72" s="5"/>
      <c r="K72" s="5"/>
      <c r="L72" s="5"/>
      <c r="M72" s="5"/>
      <c r="N72" s="5"/>
      <c r="O72" s="5"/>
      <c r="P72" s="5"/>
      <c r="Q72" s="8">
        <f>IF(COUNTA($A72:$B72,$E72,$H72,$K72,$N72,$F72,$I72,$L72,$O72)=0,"",IF($A72="","Nedostaje disciplina",IF($E72="","Nedostaje godište prvog člana",IF($C72="","Godište nije obuhvaćeno uzrasnom tabelom",IF(COUNTIF(INDIRECT("tdisc_"&amp;$C72),$A72)=0,"Disciplina nije moguća za uzrast "&amp;$C72,IF(IF($E72="",0,IF(LOOKUP($E72,INDEX(grupe,0,1),INDEX(grupe,0,2))=$C72,0,1))+IF($H72="",0,IF(LOOKUP($H72,INDEX(grupe,0,1),INDEX(grupe,0,2))=$C72,0,1))+IF($K72="",0,IF(LOOKUP($K72,INDEX(grupe,0,1),INDEX(grupe,0,2))=$C72,0,1))+IF($N72="",0,IF(LOOKUP($N72,INDEX(grupe,0,1),INDEX(grupe,0,2))=$C72,0,1))&gt;0,"Članovi ekipe nisu iz iste uzrasne grupe",IF(COUNTA($F72,$I72,$L72,$O72)&lt;&gt;COUNTA($E72,$H72,$K72,$N72),"Za svakog člana potrebni su i godište i ime",IF(IF(SUMPRODUCT(--ISERROR(FIND(MID($F72&amp;REPT("a",60),ROW($A$1:$A$60),1),"ABCDEFGHIJKLMNOPQRSTUVWXYZabcdefghijklmnopqrstuvwxyzČĆĐŠŽčćđšž -'")))=0,0,1)+IF(SUMPRODUCT(--ISERROR(FIND(MID($I72&amp;REPT("a",60),ROW($A$1:$A$60),1),"ABCDEFGHIJKLMNOPQRSTUVWXYZabcdefghijklmnopqrstuvwxyzČĆĐŠŽčćđšž -'")))=0,0,1)+IF(SUMPRODUCT(--ISERROR(FIND(MID($L72&amp;REPT("a",60),ROW($A$1:$A$60),1),"ABCDEFGHIJKLMNOPQRSTUVWXYZabcdefghijklmnopqrstuvwxyzČĆĐŠŽčćđšž -'")))=0,0,1)+IF(SUMPRODUCT(--ISERROR(FIND(MID($O72&amp;REPT("a",60),ROW($A$1:$A$60),1),"ABCDEFGHIJKLMNOPQRSTUVWXYZabcdefghijklmnopqrstuvwxyzČĆĐŠŽčćđšž -'")))=0,0,1)&gt;0,"Ime sadrži znakove koji nisu slova",IF(COUNTA($G72,$J72,$M72,$P72)&lt;&gt;COUNTA($F72,$I72,$L72,$O72),"Nedostaje pol za nekog od članova",IF(COUNTA($F72,$I72,$L72,$O72)&lt;VLOOKUP($A72,ekipe,2,FALSE),"Ekipa mora imati najmanje "&amp;VLOOKUP($A72,ekipe,2,FALSE)&amp;" člana",IF(COUNTA($F72,$I72,$L72,$O72)&gt;VLOOKUP($A72,ekipe,3,FALSE),"Ekipa može imati najviše "&amp;VLOOKUP($A72,ekipe,3,FALSE)&amp;" člana",IF($B72="","Nedostaje vrsta ekipe","prijava je kompletna")))))))))))</f>
        <v/>
      </c>
      <c r="R72">
        <f>IF($C72="","sve_ekipne","tdisc_"&amp;$C72)</f>
        <v/>
      </c>
    </row>
    <row r="73" spans="1:18">
      <c r="A73" s="5"/>
      <c r="B73" s="5"/>
      <c r="C73" s="7">
        <f>IF($E73="","",LOOKUP($E73,INDEX(grupe,0,1),INDEX(grupe,0,2)))</f>
        <v/>
      </c>
      <c r="D73" s="7">
        <f>IF($C73="","",VLOOKUP($C73,INDEX(grupe,0,2):INDEX(grupe,0,3),2,FALSE))</f>
        <v/>
      </c>
      <c r="E73" s="5"/>
      <c r="F73" s="5"/>
      <c r="G73" s="5"/>
      <c r="H73" s="5"/>
      <c r="I73" s="5"/>
      <c r="J73" s="5"/>
      <c r="K73" s="5"/>
      <c r="L73" s="5"/>
      <c r="M73" s="5"/>
      <c r="N73" s="5"/>
      <c r="O73" s="5"/>
      <c r="P73" s="5"/>
      <c r="Q73" s="8">
        <f>IF(COUNTA($A73:$B73,$E73,$H73,$K73,$N73,$F73,$I73,$L73,$O73)=0,"",IF($A73="","Nedostaje disciplina",IF($E73="","Nedostaje godište prvog člana",IF($C73="","Godište nije obuhvaćeno uzrasnom tabelom",IF(COUNTIF(INDIRECT("tdisc_"&amp;$C73),$A73)=0,"Disciplina nije moguća za uzrast "&amp;$C73,IF(IF($E73="",0,IF(LOOKUP($E73,INDEX(grupe,0,1),INDEX(grupe,0,2))=$C73,0,1))+IF($H73="",0,IF(LOOKUP($H73,INDEX(grupe,0,1),INDEX(grupe,0,2))=$C73,0,1))+IF($K73="",0,IF(LOOKUP($K73,INDEX(grupe,0,1),INDEX(grupe,0,2))=$C73,0,1))+IF($N73="",0,IF(LOOKUP($N73,INDEX(grupe,0,1),INDEX(grupe,0,2))=$C73,0,1))&gt;0,"Članovi ekipe nisu iz iste uzrasne grupe",IF(COUNTA($F73,$I73,$L73,$O73)&lt;&gt;COUNTA($E73,$H73,$K73,$N73),"Za svakog člana potrebni su i godište i ime",IF(IF(SUMPRODUCT(--ISERROR(FIND(MID($F73&amp;REPT("a",60),ROW($A$1:$A$60),1),"ABCDEFGHIJKLMNOPQRSTUVWXYZabcdefghijklmnopqrstuvwxyzČĆĐŠŽčćđšž -'")))=0,0,1)+IF(SUMPRODUCT(--ISERROR(FIND(MID($I73&amp;REPT("a",60),ROW($A$1:$A$60),1),"ABCDEFGHIJKLMNOPQRSTUVWXYZabcdefghijklmnopqrstuvwxyzČĆĐŠŽčćđšž -'")))=0,0,1)+IF(SUMPRODUCT(--ISERROR(FIND(MID($L73&amp;REPT("a",60),ROW($A$1:$A$60),1),"ABCDEFGHIJKLMNOPQRSTUVWXYZabcdefghijklmnopqrstuvwxyzČĆĐŠŽčćđšž -'")))=0,0,1)+IF(SUMPRODUCT(--ISERROR(FIND(MID($O73&amp;REPT("a",60),ROW($A$1:$A$60),1),"ABCDEFGHIJKLMNOPQRSTUVWXYZabcdefghijklmnopqrstuvwxyzČĆĐŠŽčćđšž -'")))=0,0,1)&gt;0,"Ime sadrži znakove koji nisu slova",IF(COUNTA($G73,$J73,$M73,$P73)&lt;&gt;COUNTA($F73,$I73,$L73,$O73),"Nedostaje pol za nekog od članova",IF(COUNTA($F73,$I73,$L73,$O73)&lt;VLOOKUP($A73,ekipe,2,FALSE),"Ekipa mora imati najmanje "&amp;VLOOKUP($A73,ekipe,2,FALSE)&amp;" člana",IF(COUNTA($F73,$I73,$L73,$O73)&gt;VLOOKUP($A73,ekipe,3,FALSE),"Ekipa može imati najviše "&amp;VLOOKUP($A73,ekipe,3,FALSE)&amp;" člana",IF($B73="","Nedostaje vrsta ekipe","prijava je kompletna")))))))))))</f>
        <v/>
      </c>
      <c r="R73">
        <f>IF($C73="","sve_ekipne","tdisc_"&amp;$C73)</f>
        <v/>
      </c>
    </row>
    <row r="74" spans="1:18">
      <c r="A74" s="5"/>
      <c r="B74" s="5"/>
      <c r="C74" s="7">
        <f>IF($E74="","",LOOKUP($E74,INDEX(grupe,0,1),INDEX(grupe,0,2)))</f>
        <v/>
      </c>
      <c r="D74" s="7">
        <f>IF($C74="","",VLOOKUP($C74,INDEX(grupe,0,2):INDEX(grupe,0,3),2,FALSE))</f>
        <v/>
      </c>
      <c r="E74" s="5"/>
      <c r="F74" s="5"/>
      <c r="G74" s="5"/>
      <c r="H74" s="5"/>
      <c r="I74" s="5"/>
      <c r="J74" s="5"/>
      <c r="K74" s="5"/>
      <c r="L74" s="5"/>
      <c r="M74" s="5"/>
      <c r="N74" s="5"/>
      <c r="O74" s="5"/>
      <c r="P74" s="5"/>
      <c r="Q74" s="8">
        <f>IF(COUNTA($A74:$B74,$E74,$H74,$K74,$N74,$F74,$I74,$L74,$O74)=0,"",IF($A74="","Nedostaje disciplina",IF($E74="","Nedostaje godište prvog člana",IF($C74="","Godište nije obuhvaćeno uzrasnom tabelom",IF(COUNTIF(INDIRECT("tdisc_"&amp;$C74),$A74)=0,"Disciplina nije moguća za uzrast "&amp;$C74,IF(IF($E74="",0,IF(LOOKUP($E74,INDEX(grupe,0,1),INDEX(grupe,0,2))=$C74,0,1))+IF($H74="",0,IF(LOOKUP($H74,INDEX(grupe,0,1),INDEX(grupe,0,2))=$C74,0,1))+IF($K74="",0,IF(LOOKUP($K74,INDEX(grupe,0,1),INDEX(grupe,0,2))=$C74,0,1))+IF($N74="",0,IF(LOOKUP($N74,INDEX(grupe,0,1),INDEX(grupe,0,2))=$C74,0,1))&gt;0,"Članovi ekipe nisu iz iste uzrasne grupe",IF(COUNTA($F74,$I74,$L74,$O74)&lt;&gt;COUNTA($E74,$H74,$K74,$N74),"Za svakog člana potrebni su i godište i ime",IF(IF(SUMPRODUCT(--ISERROR(FIND(MID($F74&amp;REPT("a",60),ROW($A$1:$A$60),1),"ABCDEFGHIJKLMNOPQRSTUVWXYZabcdefghijklmnopqrstuvwxyzČĆĐŠŽčćđšž -'")))=0,0,1)+IF(SUMPRODUCT(--ISERROR(FIND(MID($I74&amp;REPT("a",60),ROW($A$1:$A$60),1),"ABCDEFGHIJKLMNOPQRSTUVWXYZabcdefghijklmnopqrstuvwxyzČĆĐŠŽčćđšž -'")))=0,0,1)+IF(SUMPRODUCT(--ISERROR(FIND(MID($L74&amp;REPT("a",60),ROW($A$1:$A$60),1),"ABCDEFGHIJKLMNOPQRSTUVWXYZabcdefghijklmnopqrstuvwxyzČĆĐŠŽčćđšž -'")))=0,0,1)+IF(SUMPRODUCT(--ISERROR(FIND(MID($O74&amp;REPT("a",60),ROW($A$1:$A$60),1),"ABCDEFGHIJKLMNOPQRSTUVWXYZabcdefghijklmnopqrstuvwxyzČĆĐŠŽčćđšž -'")))=0,0,1)&gt;0,"Ime sadrži znakove koji nisu slova",IF(COUNTA($G74,$J74,$M74,$P74)&lt;&gt;COUNTA($F74,$I74,$L74,$O74),"Nedostaje pol za nekog od članova",IF(COUNTA($F74,$I74,$L74,$O74)&lt;VLOOKUP($A74,ekipe,2,FALSE),"Ekipa mora imati najmanje "&amp;VLOOKUP($A74,ekipe,2,FALSE)&amp;" člana",IF(COUNTA($F74,$I74,$L74,$O74)&gt;VLOOKUP($A74,ekipe,3,FALSE),"Ekipa može imati najviše "&amp;VLOOKUP($A74,ekipe,3,FALSE)&amp;" člana",IF($B74="","Nedostaje vrsta ekipe","prijava je kompletna")))))))))))</f>
        <v/>
      </c>
      <c r="R74">
        <f>IF($C74="","sve_ekipne","tdisc_"&amp;$C74)</f>
        <v/>
      </c>
    </row>
    <row r="75" spans="1:18">
      <c r="A75" s="5"/>
      <c r="B75" s="5"/>
      <c r="C75" s="7">
        <f>IF($E75="","",LOOKUP($E75,INDEX(grupe,0,1),INDEX(grupe,0,2)))</f>
        <v/>
      </c>
      <c r="D75" s="7">
        <f>IF($C75="","",VLOOKUP($C75,INDEX(grupe,0,2):INDEX(grupe,0,3),2,FALSE))</f>
        <v/>
      </c>
      <c r="E75" s="5"/>
      <c r="F75" s="5"/>
      <c r="G75" s="5"/>
      <c r="H75" s="5"/>
      <c r="I75" s="5"/>
      <c r="J75" s="5"/>
      <c r="K75" s="5"/>
      <c r="L75" s="5"/>
      <c r="M75" s="5"/>
      <c r="N75" s="5"/>
      <c r="O75" s="5"/>
      <c r="P75" s="5"/>
      <c r="Q75" s="8">
        <f>IF(COUNTA($A75:$B75,$E75,$H75,$K75,$N75,$F75,$I75,$L75,$O75)=0,"",IF($A75="","Nedostaje disciplina",IF($E75="","Nedostaje godište prvog člana",IF($C75="","Godište nije obuhvaćeno uzrasnom tabelom",IF(COUNTIF(INDIRECT("tdisc_"&amp;$C75),$A75)=0,"Disciplina nije moguća za uzrast "&amp;$C75,IF(IF($E75="",0,IF(LOOKUP($E75,INDEX(grupe,0,1),INDEX(grupe,0,2))=$C75,0,1))+IF($H75="",0,IF(LOOKUP($H75,INDEX(grupe,0,1),INDEX(grupe,0,2))=$C75,0,1))+IF($K75="",0,IF(LOOKUP($K75,INDEX(grupe,0,1),INDEX(grupe,0,2))=$C75,0,1))+IF($N75="",0,IF(LOOKUP($N75,INDEX(grupe,0,1),INDEX(grupe,0,2))=$C75,0,1))&gt;0,"Članovi ekipe nisu iz iste uzrasne grupe",IF(COUNTA($F75,$I75,$L75,$O75)&lt;&gt;COUNTA($E75,$H75,$K75,$N75),"Za svakog člana potrebni su i godište i ime",IF(IF(SUMPRODUCT(--ISERROR(FIND(MID($F75&amp;REPT("a",60),ROW($A$1:$A$60),1),"ABCDEFGHIJKLMNOPQRSTUVWXYZabcdefghijklmnopqrstuvwxyzČĆĐŠŽčćđšž -'")))=0,0,1)+IF(SUMPRODUCT(--ISERROR(FIND(MID($I75&amp;REPT("a",60),ROW($A$1:$A$60),1),"ABCDEFGHIJKLMNOPQRSTUVWXYZabcdefghijklmnopqrstuvwxyzČĆĐŠŽčćđšž -'")))=0,0,1)+IF(SUMPRODUCT(--ISERROR(FIND(MID($L75&amp;REPT("a",60),ROW($A$1:$A$60),1),"ABCDEFGHIJKLMNOPQRSTUVWXYZabcdefghijklmnopqrstuvwxyzČĆĐŠŽčćđšž -'")))=0,0,1)+IF(SUMPRODUCT(--ISERROR(FIND(MID($O75&amp;REPT("a",60),ROW($A$1:$A$60),1),"ABCDEFGHIJKLMNOPQRSTUVWXYZabcdefghijklmnopqrstuvwxyzČĆĐŠŽčćđšž -'")))=0,0,1)&gt;0,"Ime sadrži znakove koji nisu slova",IF(COUNTA($G75,$J75,$M75,$P75)&lt;&gt;COUNTA($F75,$I75,$L75,$O75),"Nedostaje pol za nekog od članova",IF(COUNTA($F75,$I75,$L75,$O75)&lt;VLOOKUP($A75,ekipe,2,FALSE),"Ekipa mora imati najmanje "&amp;VLOOKUP($A75,ekipe,2,FALSE)&amp;" člana",IF(COUNTA($F75,$I75,$L75,$O75)&gt;VLOOKUP($A75,ekipe,3,FALSE),"Ekipa može imati najviše "&amp;VLOOKUP($A75,ekipe,3,FALSE)&amp;" člana",IF($B75="","Nedostaje vrsta ekipe","prijava je kompletna")))))))))))</f>
        <v/>
      </c>
      <c r="R75">
        <f>IF($C75="","sve_ekipne","tdisc_"&amp;$C75)</f>
        <v/>
      </c>
    </row>
    <row r="76" spans="1:18">
      <c r="A76" s="5"/>
      <c r="B76" s="5"/>
      <c r="C76" s="7">
        <f>IF($E76="","",LOOKUP($E76,INDEX(grupe,0,1),INDEX(grupe,0,2)))</f>
        <v/>
      </c>
      <c r="D76" s="7">
        <f>IF($C76="","",VLOOKUP($C76,INDEX(grupe,0,2):INDEX(grupe,0,3),2,FALSE))</f>
        <v/>
      </c>
      <c r="E76" s="5"/>
      <c r="F76" s="5"/>
      <c r="G76" s="5"/>
      <c r="H76" s="5"/>
      <c r="I76" s="5"/>
      <c r="J76" s="5"/>
      <c r="K76" s="5"/>
      <c r="L76" s="5"/>
      <c r="M76" s="5"/>
      <c r="N76" s="5"/>
      <c r="O76" s="5"/>
      <c r="P76" s="5"/>
      <c r="Q76" s="8">
        <f>IF(COUNTA($A76:$B76,$E76,$H76,$K76,$N76,$F76,$I76,$L76,$O76)=0,"",IF($A76="","Nedostaje disciplina",IF($E76="","Nedostaje godište prvog člana",IF($C76="","Godište nije obuhvaćeno uzrasnom tabelom",IF(COUNTIF(INDIRECT("tdisc_"&amp;$C76),$A76)=0,"Disciplina nije moguća za uzrast "&amp;$C76,IF(IF($E76="",0,IF(LOOKUP($E76,INDEX(grupe,0,1),INDEX(grupe,0,2))=$C76,0,1))+IF($H76="",0,IF(LOOKUP($H76,INDEX(grupe,0,1),INDEX(grupe,0,2))=$C76,0,1))+IF($K76="",0,IF(LOOKUP($K76,INDEX(grupe,0,1),INDEX(grupe,0,2))=$C76,0,1))+IF($N76="",0,IF(LOOKUP($N76,INDEX(grupe,0,1),INDEX(grupe,0,2))=$C76,0,1))&gt;0,"Članovi ekipe nisu iz iste uzrasne grupe",IF(COUNTA($F76,$I76,$L76,$O76)&lt;&gt;COUNTA($E76,$H76,$K76,$N76),"Za svakog člana potrebni su i godište i ime",IF(IF(SUMPRODUCT(--ISERROR(FIND(MID($F76&amp;REPT("a",60),ROW($A$1:$A$60),1),"ABCDEFGHIJKLMNOPQRSTUVWXYZabcdefghijklmnopqrstuvwxyzČĆĐŠŽčćđšž -'")))=0,0,1)+IF(SUMPRODUCT(--ISERROR(FIND(MID($I76&amp;REPT("a",60),ROW($A$1:$A$60),1),"ABCDEFGHIJKLMNOPQRSTUVWXYZabcdefghijklmnopqrstuvwxyzČĆĐŠŽčćđšž -'")))=0,0,1)+IF(SUMPRODUCT(--ISERROR(FIND(MID($L76&amp;REPT("a",60),ROW($A$1:$A$60),1),"ABCDEFGHIJKLMNOPQRSTUVWXYZabcdefghijklmnopqrstuvwxyzČĆĐŠŽčćđšž -'")))=0,0,1)+IF(SUMPRODUCT(--ISERROR(FIND(MID($O76&amp;REPT("a",60),ROW($A$1:$A$60),1),"ABCDEFGHIJKLMNOPQRSTUVWXYZabcdefghijklmnopqrstuvwxyzČĆĐŠŽčćđšž -'")))=0,0,1)&gt;0,"Ime sadrži znakove koji nisu slova",IF(COUNTA($G76,$J76,$M76,$P76)&lt;&gt;COUNTA($F76,$I76,$L76,$O76),"Nedostaje pol za nekog od članova",IF(COUNTA($F76,$I76,$L76,$O76)&lt;VLOOKUP($A76,ekipe,2,FALSE),"Ekipa mora imati najmanje "&amp;VLOOKUP($A76,ekipe,2,FALSE)&amp;" člana",IF(COUNTA($F76,$I76,$L76,$O76)&gt;VLOOKUP($A76,ekipe,3,FALSE),"Ekipa može imati najviše "&amp;VLOOKUP($A76,ekipe,3,FALSE)&amp;" člana",IF($B76="","Nedostaje vrsta ekipe","prijava je kompletna")))))))))))</f>
        <v/>
      </c>
      <c r="R76">
        <f>IF($C76="","sve_ekipne","tdisc_"&amp;$C76)</f>
        <v/>
      </c>
    </row>
    <row r="77" spans="1:18">
      <c r="A77" s="5"/>
      <c r="B77" s="5"/>
      <c r="C77" s="7">
        <f>IF($E77="","",LOOKUP($E77,INDEX(grupe,0,1),INDEX(grupe,0,2)))</f>
        <v/>
      </c>
      <c r="D77" s="7">
        <f>IF($C77="","",VLOOKUP($C77,INDEX(grupe,0,2):INDEX(grupe,0,3),2,FALSE))</f>
        <v/>
      </c>
      <c r="E77" s="5"/>
      <c r="F77" s="5"/>
      <c r="G77" s="5"/>
      <c r="H77" s="5"/>
      <c r="I77" s="5"/>
      <c r="J77" s="5"/>
      <c r="K77" s="5"/>
      <c r="L77" s="5"/>
      <c r="M77" s="5"/>
      <c r="N77" s="5"/>
      <c r="O77" s="5"/>
      <c r="P77" s="5"/>
      <c r="Q77" s="8">
        <f>IF(COUNTA($A77:$B77,$E77,$H77,$K77,$N77,$F77,$I77,$L77,$O77)=0,"",IF($A77="","Nedostaje disciplina",IF($E77="","Nedostaje godište prvog člana",IF($C77="","Godište nije obuhvaćeno uzrasnom tabelom",IF(COUNTIF(INDIRECT("tdisc_"&amp;$C77),$A77)=0,"Disciplina nije moguća za uzrast "&amp;$C77,IF(IF($E77="",0,IF(LOOKUP($E77,INDEX(grupe,0,1),INDEX(grupe,0,2))=$C77,0,1))+IF($H77="",0,IF(LOOKUP($H77,INDEX(grupe,0,1),INDEX(grupe,0,2))=$C77,0,1))+IF($K77="",0,IF(LOOKUP($K77,INDEX(grupe,0,1),INDEX(grupe,0,2))=$C77,0,1))+IF($N77="",0,IF(LOOKUP($N77,INDEX(grupe,0,1),INDEX(grupe,0,2))=$C77,0,1))&gt;0,"Članovi ekipe nisu iz iste uzrasne grupe",IF(COUNTA($F77,$I77,$L77,$O77)&lt;&gt;COUNTA($E77,$H77,$K77,$N77),"Za svakog člana potrebni su i godište i ime",IF(IF(SUMPRODUCT(--ISERROR(FIND(MID($F77&amp;REPT("a",60),ROW($A$1:$A$60),1),"ABCDEFGHIJKLMNOPQRSTUVWXYZabcdefghijklmnopqrstuvwxyzČĆĐŠŽčćđšž -'")))=0,0,1)+IF(SUMPRODUCT(--ISERROR(FIND(MID($I77&amp;REPT("a",60),ROW($A$1:$A$60),1),"ABCDEFGHIJKLMNOPQRSTUVWXYZabcdefghijklmnopqrstuvwxyzČĆĐŠŽčćđšž -'")))=0,0,1)+IF(SUMPRODUCT(--ISERROR(FIND(MID($L77&amp;REPT("a",60),ROW($A$1:$A$60),1),"ABCDEFGHIJKLMNOPQRSTUVWXYZabcdefghijklmnopqrstuvwxyzČĆĐŠŽčćđšž -'")))=0,0,1)+IF(SUMPRODUCT(--ISERROR(FIND(MID($O77&amp;REPT("a",60),ROW($A$1:$A$60),1),"ABCDEFGHIJKLMNOPQRSTUVWXYZabcdefghijklmnopqrstuvwxyzČĆĐŠŽčćđšž -'")))=0,0,1)&gt;0,"Ime sadrži znakove koji nisu slova",IF(COUNTA($G77,$J77,$M77,$P77)&lt;&gt;COUNTA($F77,$I77,$L77,$O77),"Nedostaje pol za nekog od članova",IF(COUNTA($F77,$I77,$L77,$O77)&lt;VLOOKUP($A77,ekipe,2,FALSE),"Ekipa mora imati najmanje "&amp;VLOOKUP($A77,ekipe,2,FALSE)&amp;" člana",IF(COUNTA($F77,$I77,$L77,$O77)&gt;VLOOKUP($A77,ekipe,3,FALSE),"Ekipa može imati najviše "&amp;VLOOKUP($A77,ekipe,3,FALSE)&amp;" člana",IF($B77="","Nedostaje vrsta ekipe","prijava je kompletna")))))))))))</f>
        <v/>
      </c>
      <c r="R77">
        <f>IF($C77="","sve_ekipne","tdisc_"&amp;$C77)</f>
        <v/>
      </c>
    </row>
    <row r="78" spans="1:18">
      <c r="A78" s="5"/>
      <c r="B78" s="5"/>
      <c r="C78" s="7">
        <f>IF($E78="","",LOOKUP($E78,INDEX(grupe,0,1),INDEX(grupe,0,2)))</f>
        <v/>
      </c>
      <c r="D78" s="7">
        <f>IF($C78="","",VLOOKUP($C78,INDEX(grupe,0,2):INDEX(grupe,0,3),2,FALSE))</f>
        <v/>
      </c>
      <c r="E78" s="5"/>
      <c r="F78" s="5"/>
      <c r="G78" s="5"/>
      <c r="H78" s="5"/>
      <c r="I78" s="5"/>
      <c r="J78" s="5"/>
      <c r="K78" s="5"/>
      <c r="L78" s="5"/>
      <c r="M78" s="5"/>
      <c r="N78" s="5"/>
      <c r="O78" s="5"/>
      <c r="P78" s="5"/>
      <c r="Q78" s="8">
        <f>IF(COUNTA($A78:$B78,$E78,$H78,$K78,$N78,$F78,$I78,$L78,$O78)=0,"",IF($A78="","Nedostaje disciplina",IF($E78="","Nedostaje godište prvog člana",IF($C78="","Godište nije obuhvaćeno uzrasnom tabelom",IF(COUNTIF(INDIRECT("tdisc_"&amp;$C78),$A78)=0,"Disciplina nije moguća za uzrast "&amp;$C78,IF(IF($E78="",0,IF(LOOKUP($E78,INDEX(grupe,0,1),INDEX(grupe,0,2))=$C78,0,1))+IF($H78="",0,IF(LOOKUP($H78,INDEX(grupe,0,1),INDEX(grupe,0,2))=$C78,0,1))+IF($K78="",0,IF(LOOKUP($K78,INDEX(grupe,0,1),INDEX(grupe,0,2))=$C78,0,1))+IF($N78="",0,IF(LOOKUP($N78,INDEX(grupe,0,1),INDEX(grupe,0,2))=$C78,0,1))&gt;0,"Članovi ekipe nisu iz iste uzrasne grupe",IF(COUNTA($F78,$I78,$L78,$O78)&lt;&gt;COUNTA($E78,$H78,$K78,$N78),"Za svakog člana potrebni su i godište i ime",IF(IF(SUMPRODUCT(--ISERROR(FIND(MID($F78&amp;REPT("a",60),ROW($A$1:$A$60),1),"ABCDEFGHIJKLMNOPQRSTUVWXYZabcdefghijklmnopqrstuvwxyzČĆĐŠŽčćđšž -'")))=0,0,1)+IF(SUMPRODUCT(--ISERROR(FIND(MID($I78&amp;REPT("a",60),ROW($A$1:$A$60),1),"ABCDEFGHIJKLMNOPQRSTUVWXYZabcdefghijklmnopqrstuvwxyzČĆĐŠŽčćđšž -'")))=0,0,1)+IF(SUMPRODUCT(--ISERROR(FIND(MID($L78&amp;REPT("a",60),ROW($A$1:$A$60),1),"ABCDEFGHIJKLMNOPQRSTUVWXYZabcdefghijklmnopqrstuvwxyzČĆĐŠŽčćđšž -'")))=0,0,1)+IF(SUMPRODUCT(--ISERROR(FIND(MID($O78&amp;REPT("a",60),ROW($A$1:$A$60),1),"ABCDEFGHIJKLMNOPQRSTUVWXYZabcdefghijklmnopqrstuvwxyzČĆĐŠŽčćđšž -'")))=0,0,1)&gt;0,"Ime sadrži znakove koji nisu slova",IF(COUNTA($G78,$J78,$M78,$P78)&lt;&gt;COUNTA($F78,$I78,$L78,$O78),"Nedostaje pol za nekog od članova",IF(COUNTA($F78,$I78,$L78,$O78)&lt;VLOOKUP($A78,ekipe,2,FALSE),"Ekipa mora imati najmanje "&amp;VLOOKUP($A78,ekipe,2,FALSE)&amp;" člana",IF(COUNTA($F78,$I78,$L78,$O78)&gt;VLOOKUP($A78,ekipe,3,FALSE),"Ekipa može imati najviše "&amp;VLOOKUP($A78,ekipe,3,FALSE)&amp;" člana",IF($B78="","Nedostaje vrsta ekipe","prijava je kompletna")))))))))))</f>
        <v/>
      </c>
      <c r="R78">
        <f>IF($C78="","sve_ekipne","tdisc_"&amp;$C78)</f>
        <v/>
      </c>
    </row>
    <row r="79" spans="1:18">
      <c r="A79" s="5"/>
      <c r="B79" s="5"/>
      <c r="C79" s="7">
        <f>IF($E79="","",LOOKUP($E79,INDEX(grupe,0,1),INDEX(grupe,0,2)))</f>
        <v/>
      </c>
      <c r="D79" s="7">
        <f>IF($C79="","",VLOOKUP($C79,INDEX(grupe,0,2):INDEX(grupe,0,3),2,FALSE))</f>
        <v/>
      </c>
      <c r="E79" s="5"/>
      <c r="F79" s="5"/>
      <c r="G79" s="5"/>
      <c r="H79" s="5"/>
      <c r="I79" s="5"/>
      <c r="J79" s="5"/>
      <c r="K79" s="5"/>
      <c r="L79" s="5"/>
      <c r="M79" s="5"/>
      <c r="N79" s="5"/>
      <c r="O79" s="5"/>
      <c r="P79" s="5"/>
      <c r="Q79" s="8">
        <f>IF(COUNTA($A79:$B79,$E79,$H79,$K79,$N79,$F79,$I79,$L79,$O79)=0,"",IF($A79="","Nedostaje disciplina",IF($E79="","Nedostaje godište prvog člana",IF($C79="","Godište nije obuhvaćeno uzrasnom tabelom",IF(COUNTIF(INDIRECT("tdisc_"&amp;$C79),$A79)=0,"Disciplina nije moguća za uzrast "&amp;$C79,IF(IF($E79="",0,IF(LOOKUP($E79,INDEX(grupe,0,1),INDEX(grupe,0,2))=$C79,0,1))+IF($H79="",0,IF(LOOKUP($H79,INDEX(grupe,0,1),INDEX(grupe,0,2))=$C79,0,1))+IF($K79="",0,IF(LOOKUP($K79,INDEX(grupe,0,1),INDEX(grupe,0,2))=$C79,0,1))+IF($N79="",0,IF(LOOKUP($N79,INDEX(grupe,0,1),INDEX(grupe,0,2))=$C79,0,1))&gt;0,"Članovi ekipe nisu iz iste uzrasne grupe",IF(COUNTA($F79,$I79,$L79,$O79)&lt;&gt;COUNTA($E79,$H79,$K79,$N79),"Za svakog člana potrebni su i godište i ime",IF(IF(SUMPRODUCT(--ISERROR(FIND(MID($F79&amp;REPT("a",60),ROW($A$1:$A$60),1),"ABCDEFGHIJKLMNOPQRSTUVWXYZabcdefghijklmnopqrstuvwxyzČĆĐŠŽčćđšž -'")))=0,0,1)+IF(SUMPRODUCT(--ISERROR(FIND(MID($I79&amp;REPT("a",60),ROW($A$1:$A$60),1),"ABCDEFGHIJKLMNOPQRSTUVWXYZabcdefghijklmnopqrstuvwxyzČĆĐŠŽčćđšž -'")))=0,0,1)+IF(SUMPRODUCT(--ISERROR(FIND(MID($L79&amp;REPT("a",60),ROW($A$1:$A$60),1),"ABCDEFGHIJKLMNOPQRSTUVWXYZabcdefghijklmnopqrstuvwxyzČĆĐŠŽčćđšž -'")))=0,0,1)+IF(SUMPRODUCT(--ISERROR(FIND(MID($O79&amp;REPT("a",60),ROW($A$1:$A$60),1),"ABCDEFGHIJKLMNOPQRSTUVWXYZabcdefghijklmnopqrstuvwxyzČĆĐŠŽčćđšž -'")))=0,0,1)&gt;0,"Ime sadrži znakove koji nisu slova",IF(COUNTA($G79,$J79,$M79,$P79)&lt;&gt;COUNTA($F79,$I79,$L79,$O79),"Nedostaje pol za nekog od članova",IF(COUNTA($F79,$I79,$L79,$O79)&lt;VLOOKUP($A79,ekipe,2,FALSE),"Ekipa mora imati najmanje "&amp;VLOOKUP($A79,ekipe,2,FALSE)&amp;" člana",IF(COUNTA($F79,$I79,$L79,$O79)&gt;VLOOKUP($A79,ekipe,3,FALSE),"Ekipa može imati najviše "&amp;VLOOKUP($A79,ekipe,3,FALSE)&amp;" člana",IF($B79="","Nedostaje vrsta ekipe","prijava je kompletna")))))))))))</f>
        <v/>
      </c>
      <c r="R79">
        <f>IF($C79="","sve_ekipne","tdisc_"&amp;$C79)</f>
        <v/>
      </c>
    </row>
    <row r="80" spans="1:18">
      <c r="A80" s="5"/>
      <c r="B80" s="5"/>
      <c r="C80" s="7">
        <f>IF($E80="","",LOOKUP($E80,INDEX(grupe,0,1),INDEX(grupe,0,2)))</f>
        <v/>
      </c>
      <c r="D80" s="7">
        <f>IF($C80="","",VLOOKUP($C80,INDEX(grupe,0,2):INDEX(grupe,0,3),2,FALSE))</f>
        <v/>
      </c>
      <c r="E80" s="5"/>
      <c r="F80" s="5"/>
      <c r="G80" s="5"/>
      <c r="H80" s="5"/>
      <c r="I80" s="5"/>
      <c r="J80" s="5"/>
      <c r="K80" s="5"/>
      <c r="L80" s="5"/>
      <c r="M80" s="5"/>
      <c r="N80" s="5"/>
      <c r="O80" s="5"/>
      <c r="P80" s="5"/>
      <c r="Q80" s="8">
        <f>IF(COUNTA($A80:$B80,$E80,$H80,$K80,$N80,$F80,$I80,$L80,$O80)=0,"",IF($A80="","Nedostaje disciplina",IF($E80="","Nedostaje godište prvog člana",IF($C80="","Godište nije obuhvaćeno uzrasnom tabelom",IF(COUNTIF(INDIRECT("tdisc_"&amp;$C80),$A80)=0,"Disciplina nije moguća za uzrast "&amp;$C80,IF(IF($E80="",0,IF(LOOKUP($E80,INDEX(grupe,0,1),INDEX(grupe,0,2))=$C80,0,1))+IF($H80="",0,IF(LOOKUP($H80,INDEX(grupe,0,1),INDEX(grupe,0,2))=$C80,0,1))+IF($K80="",0,IF(LOOKUP($K80,INDEX(grupe,0,1),INDEX(grupe,0,2))=$C80,0,1))+IF($N80="",0,IF(LOOKUP($N80,INDEX(grupe,0,1),INDEX(grupe,0,2))=$C80,0,1))&gt;0,"Članovi ekipe nisu iz iste uzrasne grupe",IF(COUNTA($F80,$I80,$L80,$O80)&lt;&gt;COUNTA($E80,$H80,$K80,$N80),"Za svakog člana potrebni su i godište i ime",IF(IF(SUMPRODUCT(--ISERROR(FIND(MID($F80&amp;REPT("a",60),ROW($A$1:$A$60),1),"ABCDEFGHIJKLMNOPQRSTUVWXYZabcdefghijklmnopqrstuvwxyzČĆĐŠŽčćđšž -'")))=0,0,1)+IF(SUMPRODUCT(--ISERROR(FIND(MID($I80&amp;REPT("a",60),ROW($A$1:$A$60),1),"ABCDEFGHIJKLMNOPQRSTUVWXYZabcdefghijklmnopqrstuvwxyzČĆĐŠŽčćđšž -'")))=0,0,1)+IF(SUMPRODUCT(--ISERROR(FIND(MID($L80&amp;REPT("a",60),ROW($A$1:$A$60),1),"ABCDEFGHIJKLMNOPQRSTUVWXYZabcdefghijklmnopqrstuvwxyzČĆĐŠŽčćđšž -'")))=0,0,1)+IF(SUMPRODUCT(--ISERROR(FIND(MID($O80&amp;REPT("a",60),ROW($A$1:$A$60),1),"ABCDEFGHIJKLMNOPQRSTUVWXYZabcdefghijklmnopqrstuvwxyzČĆĐŠŽčćđšž -'")))=0,0,1)&gt;0,"Ime sadrži znakove koji nisu slova",IF(COUNTA($G80,$J80,$M80,$P80)&lt;&gt;COUNTA($F80,$I80,$L80,$O80),"Nedostaje pol za nekog od članova",IF(COUNTA($F80,$I80,$L80,$O80)&lt;VLOOKUP($A80,ekipe,2,FALSE),"Ekipa mora imati najmanje "&amp;VLOOKUP($A80,ekipe,2,FALSE)&amp;" člana",IF(COUNTA($F80,$I80,$L80,$O80)&gt;VLOOKUP($A80,ekipe,3,FALSE),"Ekipa može imati najviše "&amp;VLOOKUP($A80,ekipe,3,FALSE)&amp;" člana",IF($B80="","Nedostaje vrsta ekipe","prijava je kompletna")))))))))))</f>
        <v/>
      </c>
      <c r="R80">
        <f>IF($C80="","sve_ekipne","tdisc_"&amp;$C80)</f>
        <v/>
      </c>
    </row>
    <row r="81" spans="1:18">
      <c r="A81" s="5"/>
      <c r="B81" s="5"/>
      <c r="C81" s="7">
        <f>IF($E81="","",LOOKUP($E81,INDEX(grupe,0,1),INDEX(grupe,0,2)))</f>
        <v/>
      </c>
      <c r="D81" s="7">
        <f>IF($C81="","",VLOOKUP($C81,INDEX(grupe,0,2):INDEX(grupe,0,3),2,FALSE))</f>
        <v/>
      </c>
      <c r="E81" s="5"/>
      <c r="F81" s="5"/>
      <c r="G81" s="5"/>
      <c r="H81" s="5"/>
      <c r="I81" s="5"/>
      <c r="J81" s="5"/>
      <c r="K81" s="5"/>
      <c r="L81" s="5"/>
      <c r="M81" s="5"/>
      <c r="N81" s="5"/>
      <c r="O81" s="5"/>
      <c r="P81" s="5"/>
      <c r="Q81" s="8">
        <f>IF(COUNTA($A81:$B81,$E81,$H81,$K81,$N81,$F81,$I81,$L81,$O81)=0,"",IF($A81="","Nedostaje disciplina",IF($E81="","Nedostaje godište prvog člana",IF($C81="","Godište nije obuhvaćeno uzrasnom tabelom",IF(COUNTIF(INDIRECT("tdisc_"&amp;$C81),$A81)=0,"Disciplina nije moguća za uzrast "&amp;$C81,IF(IF($E81="",0,IF(LOOKUP($E81,INDEX(grupe,0,1),INDEX(grupe,0,2))=$C81,0,1))+IF($H81="",0,IF(LOOKUP($H81,INDEX(grupe,0,1),INDEX(grupe,0,2))=$C81,0,1))+IF($K81="",0,IF(LOOKUP($K81,INDEX(grupe,0,1),INDEX(grupe,0,2))=$C81,0,1))+IF($N81="",0,IF(LOOKUP($N81,INDEX(grupe,0,1),INDEX(grupe,0,2))=$C81,0,1))&gt;0,"Članovi ekipe nisu iz iste uzrasne grupe",IF(COUNTA($F81,$I81,$L81,$O81)&lt;&gt;COUNTA($E81,$H81,$K81,$N81),"Za svakog člana potrebni su i godište i ime",IF(IF(SUMPRODUCT(--ISERROR(FIND(MID($F81&amp;REPT("a",60),ROW($A$1:$A$60),1),"ABCDEFGHIJKLMNOPQRSTUVWXYZabcdefghijklmnopqrstuvwxyzČĆĐŠŽčćđšž -'")))=0,0,1)+IF(SUMPRODUCT(--ISERROR(FIND(MID($I81&amp;REPT("a",60),ROW($A$1:$A$60),1),"ABCDEFGHIJKLMNOPQRSTUVWXYZabcdefghijklmnopqrstuvwxyzČĆĐŠŽčćđšž -'")))=0,0,1)+IF(SUMPRODUCT(--ISERROR(FIND(MID($L81&amp;REPT("a",60),ROW($A$1:$A$60),1),"ABCDEFGHIJKLMNOPQRSTUVWXYZabcdefghijklmnopqrstuvwxyzČĆĐŠŽčćđšž -'")))=0,0,1)+IF(SUMPRODUCT(--ISERROR(FIND(MID($O81&amp;REPT("a",60),ROW($A$1:$A$60),1),"ABCDEFGHIJKLMNOPQRSTUVWXYZabcdefghijklmnopqrstuvwxyzČĆĐŠŽčćđšž -'")))=0,0,1)&gt;0,"Ime sadrži znakove koji nisu slova",IF(COUNTA($G81,$J81,$M81,$P81)&lt;&gt;COUNTA($F81,$I81,$L81,$O81),"Nedostaje pol za nekog od članova",IF(COUNTA($F81,$I81,$L81,$O81)&lt;VLOOKUP($A81,ekipe,2,FALSE),"Ekipa mora imati najmanje "&amp;VLOOKUP($A81,ekipe,2,FALSE)&amp;" člana",IF(COUNTA($F81,$I81,$L81,$O81)&gt;VLOOKUP($A81,ekipe,3,FALSE),"Ekipa može imati najviše "&amp;VLOOKUP($A81,ekipe,3,FALSE)&amp;" člana",IF($B81="","Nedostaje vrsta ekipe","prijava je kompletna")))))))))))</f>
        <v/>
      </c>
      <c r="R81">
        <f>IF($C81="","sve_ekipne","tdisc_"&amp;$C81)</f>
        <v/>
      </c>
    </row>
    <row r="82" spans="1:18">
      <c r="A82" s="5"/>
      <c r="B82" s="5"/>
      <c r="C82" s="7">
        <f>IF($E82="","",LOOKUP($E82,INDEX(grupe,0,1),INDEX(grupe,0,2)))</f>
        <v/>
      </c>
      <c r="D82" s="7">
        <f>IF($C82="","",VLOOKUP($C82,INDEX(grupe,0,2):INDEX(grupe,0,3),2,FALSE))</f>
        <v/>
      </c>
      <c r="E82" s="5"/>
      <c r="F82" s="5"/>
      <c r="G82" s="5"/>
      <c r="H82" s="5"/>
      <c r="I82" s="5"/>
      <c r="J82" s="5"/>
      <c r="K82" s="5"/>
      <c r="L82" s="5"/>
      <c r="M82" s="5"/>
      <c r="N82" s="5"/>
      <c r="O82" s="5"/>
      <c r="P82" s="5"/>
      <c r="Q82" s="8">
        <f>IF(COUNTA($A82:$B82,$E82,$H82,$K82,$N82,$F82,$I82,$L82,$O82)=0,"",IF($A82="","Nedostaje disciplina",IF($E82="","Nedostaje godište prvog člana",IF($C82="","Godište nije obuhvaćeno uzrasnom tabelom",IF(COUNTIF(INDIRECT("tdisc_"&amp;$C82),$A82)=0,"Disciplina nije moguća za uzrast "&amp;$C82,IF(IF($E82="",0,IF(LOOKUP($E82,INDEX(grupe,0,1),INDEX(grupe,0,2))=$C82,0,1))+IF($H82="",0,IF(LOOKUP($H82,INDEX(grupe,0,1),INDEX(grupe,0,2))=$C82,0,1))+IF($K82="",0,IF(LOOKUP($K82,INDEX(grupe,0,1),INDEX(grupe,0,2))=$C82,0,1))+IF($N82="",0,IF(LOOKUP($N82,INDEX(grupe,0,1),INDEX(grupe,0,2))=$C82,0,1))&gt;0,"Članovi ekipe nisu iz iste uzrasne grupe",IF(COUNTA($F82,$I82,$L82,$O82)&lt;&gt;COUNTA($E82,$H82,$K82,$N82),"Za svakog člana potrebni su i godište i ime",IF(IF(SUMPRODUCT(--ISERROR(FIND(MID($F82&amp;REPT("a",60),ROW($A$1:$A$60),1),"ABCDEFGHIJKLMNOPQRSTUVWXYZabcdefghijklmnopqrstuvwxyzČĆĐŠŽčćđšž -'")))=0,0,1)+IF(SUMPRODUCT(--ISERROR(FIND(MID($I82&amp;REPT("a",60),ROW($A$1:$A$60),1),"ABCDEFGHIJKLMNOPQRSTUVWXYZabcdefghijklmnopqrstuvwxyzČĆĐŠŽčćđšž -'")))=0,0,1)+IF(SUMPRODUCT(--ISERROR(FIND(MID($L82&amp;REPT("a",60),ROW($A$1:$A$60),1),"ABCDEFGHIJKLMNOPQRSTUVWXYZabcdefghijklmnopqrstuvwxyzČĆĐŠŽčćđšž -'")))=0,0,1)+IF(SUMPRODUCT(--ISERROR(FIND(MID($O82&amp;REPT("a",60),ROW($A$1:$A$60),1),"ABCDEFGHIJKLMNOPQRSTUVWXYZabcdefghijklmnopqrstuvwxyzČĆĐŠŽčćđšž -'")))=0,0,1)&gt;0,"Ime sadrži znakove koji nisu slova",IF(COUNTA($G82,$J82,$M82,$P82)&lt;&gt;COUNTA($F82,$I82,$L82,$O82),"Nedostaje pol za nekog od članova",IF(COUNTA($F82,$I82,$L82,$O82)&lt;VLOOKUP($A82,ekipe,2,FALSE),"Ekipa mora imati najmanje "&amp;VLOOKUP($A82,ekipe,2,FALSE)&amp;" člana",IF(COUNTA($F82,$I82,$L82,$O82)&gt;VLOOKUP($A82,ekipe,3,FALSE),"Ekipa može imati najviše "&amp;VLOOKUP($A82,ekipe,3,FALSE)&amp;" člana",IF($B82="","Nedostaje vrsta ekipe","prijava je kompletna")))))))))))</f>
        <v/>
      </c>
      <c r="R82">
        <f>IF($C82="","sve_ekipne","tdisc_"&amp;$C82)</f>
        <v/>
      </c>
    </row>
    <row r="83" spans="1:18">
      <c r="A83" s="5"/>
      <c r="B83" s="5"/>
      <c r="C83" s="7">
        <f>IF($E83="","",LOOKUP($E83,INDEX(grupe,0,1),INDEX(grupe,0,2)))</f>
        <v/>
      </c>
      <c r="D83" s="7">
        <f>IF($C83="","",VLOOKUP($C83,INDEX(grupe,0,2):INDEX(grupe,0,3),2,FALSE))</f>
        <v/>
      </c>
      <c r="E83" s="5"/>
      <c r="F83" s="5"/>
      <c r="G83" s="5"/>
      <c r="H83" s="5"/>
      <c r="I83" s="5"/>
      <c r="J83" s="5"/>
      <c r="K83" s="5"/>
      <c r="L83" s="5"/>
      <c r="M83" s="5"/>
      <c r="N83" s="5"/>
      <c r="O83" s="5"/>
      <c r="P83" s="5"/>
      <c r="Q83" s="8">
        <f>IF(COUNTA($A83:$B83,$E83,$H83,$K83,$N83,$F83,$I83,$L83,$O83)=0,"",IF($A83="","Nedostaje disciplina",IF($E83="","Nedostaje godište prvog člana",IF($C83="","Godište nije obuhvaćeno uzrasnom tabelom",IF(COUNTIF(INDIRECT("tdisc_"&amp;$C83),$A83)=0,"Disciplina nije moguća za uzrast "&amp;$C83,IF(IF($E83="",0,IF(LOOKUP($E83,INDEX(grupe,0,1),INDEX(grupe,0,2))=$C83,0,1))+IF($H83="",0,IF(LOOKUP($H83,INDEX(grupe,0,1),INDEX(grupe,0,2))=$C83,0,1))+IF($K83="",0,IF(LOOKUP($K83,INDEX(grupe,0,1),INDEX(grupe,0,2))=$C83,0,1))+IF($N83="",0,IF(LOOKUP($N83,INDEX(grupe,0,1),INDEX(grupe,0,2))=$C83,0,1))&gt;0,"Članovi ekipe nisu iz iste uzrasne grupe",IF(COUNTA($F83,$I83,$L83,$O83)&lt;&gt;COUNTA($E83,$H83,$K83,$N83),"Za svakog člana potrebni su i godište i ime",IF(IF(SUMPRODUCT(--ISERROR(FIND(MID($F83&amp;REPT("a",60),ROW($A$1:$A$60),1),"ABCDEFGHIJKLMNOPQRSTUVWXYZabcdefghijklmnopqrstuvwxyzČĆĐŠŽčćđšž -'")))=0,0,1)+IF(SUMPRODUCT(--ISERROR(FIND(MID($I83&amp;REPT("a",60),ROW($A$1:$A$60),1),"ABCDEFGHIJKLMNOPQRSTUVWXYZabcdefghijklmnopqrstuvwxyzČĆĐŠŽčćđšž -'")))=0,0,1)+IF(SUMPRODUCT(--ISERROR(FIND(MID($L83&amp;REPT("a",60),ROW($A$1:$A$60),1),"ABCDEFGHIJKLMNOPQRSTUVWXYZabcdefghijklmnopqrstuvwxyzČĆĐŠŽčćđšž -'")))=0,0,1)+IF(SUMPRODUCT(--ISERROR(FIND(MID($O83&amp;REPT("a",60),ROW($A$1:$A$60),1),"ABCDEFGHIJKLMNOPQRSTUVWXYZabcdefghijklmnopqrstuvwxyzČĆĐŠŽčćđšž -'")))=0,0,1)&gt;0,"Ime sadrži znakove koji nisu slova",IF(COUNTA($G83,$J83,$M83,$P83)&lt;&gt;COUNTA($F83,$I83,$L83,$O83),"Nedostaje pol za nekog od članova",IF(COUNTA($F83,$I83,$L83,$O83)&lt;VLOOKUP($A83,ekipe,2,FALSE),"Ekipa mora imati najmanje "&amp;VLOOKUP($A83,ekipe,2,FALSE)&amp;" člana",IF(COUNTA($F83,$I83,$L83,$O83)&gt;VLOOKUP($A83,ekipe,3,FALSE),"Ekipa može imati najviše "&amp;VLOOKUP($A83,ekipe,3,FALSE)&amp;" člana",IF($B83="","Nedostaje vrsta ekipe","prijava je kompletna")))))))))))</f>
        <v/>
      </c>
      <c r="R83">
        <f>IF($C83="","sve_ekipne","tdisc_"&amp;$C83)</f>
        <v/>
      </c>
    </row>
    <row r="84" spans="1:18">
      <c r="A84" s="5"/>
      <c r="B84" s="5"/>
      <c r="C84" s="7">
        <f>IF($E84="","",LOOKUP($E84,INDEX(grupe,0,1),INDEX(grupe,0,2)))</f>
        <v/>
      </c>
      <c r="D84" s="7">
        <f>IF($C84="","",VLOOKUP($C84,INDEX(grupe,0,2):INDEX(grupe,0,3),2,FALSE))</f>
        <v/>
      </c>
      <c r="E84" s="5"/>
      <c r="F84" s="5"/>
      <c r="G84" s="5"/>
      <c r="H84" s="5"/>
      <c r="I84" s="5"/>
      <c r="J84" s="5"/>
      <c r="K84" s="5"/>
      <c r="L84" s="5"/>
      <c r="M84" s="5"/>
      <c r="N84" s="5"/>
      <c r="O84" s="5"/>
      <c r="P84" s="5"/>
      <c r="Q84" s="8">
        <f>IF(COUNTA($A84:$B84,$E84,$H84,$K84,$N84,$F84,$I84,$L84,$O84)=0,"",IF($A84="","Nedostaje disciplina",IF($E84="","Nedostaje godište prvog člana",IF($C84="","Godište nije obuhvaćeno uzrasnom tabelom",IF(COUNTIF(INDIRECT("tdisc_"&amp;$C84),$A84)=0,"Disciplina nije moguća za uzrast "&amp;$C84,IF(IF($E84="",0,IF(LOOKUP($E84,INDEX(grupe,0,1),INDEX(grupe,0,2))=$C84,0,1))+IF($H84="",0,IF(LOOKUP($H84,INDEX(grupe,0,1),INDEX(grupe,0,2))=$C84,0,1))+IF($K84="",0,IF(LOOKUP($K84,INDEX(grupe,0,1),INDEX(grupe,0,2))=$C84,0,1))+IF($N84="",0,IF(LOOKUP($N84,INDEX(grupe,0,1),INDEX(grupe,0,2))=$C84,0,1))&gt;0,"Članovi ekipe nisu iz iste uzrasne grupe",IF(COUNTA($F84,$I84,$L84,$O84)&lt;&gt;COUNTA($E84,$H84,$K84,$N84),"Za svakog člana potrebni su i godište i ime",IF(IF(SUMPRODUCT(--ISERROR(FIND(MID($F84&amp;REPT("a",60),ROW($A$1:$A$60),1),"ABCDEFGHIJKLMNOPQRSTUVWXYZabcdefghijklmnopqrstuvwxyzČĆĐŠŽčćđšž -'")))=0,0,1)+IF(SUMPRODUCT(--ISERROR(FIND(MID($I84&amp;REPT("a",60),ROW($A$1:$A$60),1),"ABCDEFGHIJKLMNOPQRSTUVWXYZabcdefghijklmnopqrstuvwxyzČĆĐŠŽčćđšž -'")))=0,0,1)+IF(SUMPRODUCT(--ISERROR(FIND(MID($L84&amp;REPT("a",60),ROW($A$1:$A$60),1),"ABCDEFGHIJKLMNOPQRSTUVWXYZabcdefghijklmnopqrstuvwxyzČĆĐŠŽčćđšž -'")))=0,0,1)+IF(SUMPRODUCT(--ISERROR(FIND(MID($O84&amp;REPT("a",60),ROW($A$1:$A$60),1),"ABCDEFGHIJKLMNOPQRSTUVWXYZabcdefghijklmnopqrstuvwxyzČĆĐŠŽčćđšž -'")))=0,0,1)&gt;0,"Ime sadrži znakove koji nisu slova",IF(COUNTA($G84,$J84,$M84,$P84)&lt;&gt;COUNTA($F84,$I84,$L84,$O84),"Nedostaje pol za nekog od članova",IF(COUNTA($F84,$I84,$L84,$O84)&lt;VLOOKUP($A84,ekipe,2,FALSE),"Ekipa mora imati najmanje "&amp;VLOOKUP($A84,ekipe,2,FALSE)&amp;" člana",IF(COUNTA($F84,$I84,$L84,$O84)&gt;VLOOKUP($A84,ekipe,3,FALSE),"Ekipa može imati najviše "&amp;VLOOKUP($A84,ekipe,3,FALSE)&amp;" člana",IF($B84="","Nedostaje vrsta ekipe","prijava je kompletna")))))))))))</f>
        <v/>
      </c>
      <c r="R84">
        <f>IF($C84="","sve_ekipne","tdisc_"&amp;$C84)</f>
        <v/>
      </c>
    </row>
    <row r="85" spans="1:18">
      <c r="A85" s="5"/>
      <c r="B85" s="5"/>
      <c r="C85" s="7">
        <f>IF($E85="","",LOOKUP($E85,INDEX(grupe,0,1),INDEX(grupe,0,2)))</f>
        <v/>
      </c>
      <c r="D85" s="7">
        <f>IF($C85="","",VLOOKUP($C85,INDEX(grupe,0,2):INDEX(grupe,0,3),2,FALSE))</f>
        <v/>
      </c>
      <c r="E85" s="5"/>
      <c r="F85" s="5"/>
      <c r="G85" s="5"/>
      <c r="H85" s="5"/>
      <c r="I85" s="5"/>
      <c r="J85" s="5"/>
      <c r="K85" s="5"/>
      <c r="L85" s="5"/>
      <c r="M85" s="5"/>
      <c r="N85" s="5"/>
      <c r="O85" s="5"/>
      <c r="P85" s="5"/>
      <c r="Q85" s="8">
        <f>IF(COUNTA($A85:$B85,$E85,$H85,$K85,$N85,$F85,$I85,$L85,$O85)=0,"",IF($A85="","Nedostaje disciplina",IF($E85="","Nedostaje godište prvog člana",IF($C85="","Godište nije obuhvaćeno uzrasnom tabelom",IF(COUNTIF(INDIRECT("tdisc_"&amp;$C85),$A85)=0,"Disciplina nije moguća za uzrast "&amp;$C85,IF(IF($E85="",0,IF(LOOKUP($E85,INDEX(grupe,0,1),INDEX(grupe,0,2))=$C85,0,1))+IF($H85="",0,IF(LOOKUP($H85,INDEX(grupe,0,1),INDEX(grupe,0,2))=$C85,0,1))+IF($K85="",0,IF(LOOKUP($K85,INDEX(grupe,0,1),INDEX(grupe,0,2))=$C85,0,1))+IF($N85="",0,IF(LOOKUP($N85,INDEX(grupe,0,1),INDEX(grupe,0,2))=$C85,0,1))&gt;0,"Članovi ekipe nisu iz iste uzrasne grupe",IF(COUNTA($F85,$I85,$L85,$O85)&lt;&gt;COUNTA($E85,$H85,$K85,$N85),"Za svakog člana potrebni su i godište i ime",IF(IF(SUMPRODUCT(--ISERROR(FIND(MID($F85&amp;REPT("a",60),ROW($A$1:$A$60),1),"ABCDEFGHIJKLMNOPQRSTUVWXYZabcdefghijklmnopqrstuvwxyzČĆĐŠŽčćđšž -'")))=0,0,1)+IF(SUMPRODUCT(--ISERROR(FIND(MID($I85&amp;REPT("a",60),ROW($A$1:$A$60),1),"ABCDEFGHIJKLMNOPQRSTUVWXYZabcdefghijklmnopqrstuvwxyzČĆĐŠŽčćđšž -'")))=0,0,1)+IF(SUMPRODUCT(--ISERROR(FIND(MID($L85&amp;REPT("a",60),ROW($A$1:$A$60),1),"ABCDEFGHIJKLMNOPQRSTUVWXYZabcdefghijklmnopqrstuvwxyzČĆĐŠŽčćđšž -'")))=0,0,1)+IF(SUMPRODUCT(--ISERROR(FIND(MID($O85&amp;REPT("a",60),ROW($A$1:$A$60),1),"ABCDEFGHIJKLMNOPQRSTUVWXYZabcdefghijklmnopqrstuvwxyzČĆĐŠŽčćđšž -'")))=0,0,1)&gt;0,"Ime sadrži znakove koji nisu slova",IF(COUNTA($G85,$J85,$M85,$P85)&lt;&gt;COUNTA($F85,$I85,$L85,$O85),"Nedostaje pol za nekog od članova",IF(COUNTA($F85,$I85,$L85,$O85)&lt;VLOOKUP($A85,ekipe,2,FALSE),"Ekipa mora imati najmanje "&amp;VLOOKUP($A85,ekipe,2,FALSE)&amp;" člana",IF(COUNTA($F85,$I85,$L85,$O85)&gt;VLOOKUP($A85,ekipe,3,FALSE),"Ekipa može imati najviše "&amp;VLOOKUP($A85,ekipe,3,FALSE)&amp;" člana",IF($B85="","Nedostaje vrsta ekipe","prijava je kompletna")))))))))))</f>
        <v/>
      </c>
      <c r="R85">
        <f>IF($C85="","sve_ekipne","tdisc_"&amp;$C85)</f>
        <v/>
      </c>
    </row>
    <row r="86" spans="1:18">
      <c r="A86" s="5"/>
      <c r="B86" s="5"/>
      <c r="C86" s="7">
        <f>IF($E86="","",LOOKUP($E86,INDEX(grupe,0,1),INDEX(grupe,0,2)))</f>
        <v/>
      </c>
      <c r="D86" s="7">
        <f>IF($C86="","",VLOOKUP($C86,INDEX(grupe,0,2):INDEX(grupe,0,3),2,FALSE))</f>
        <v/>
      </c>
      <c r="E86" s="5"/>
      <c r="F86" s="5"/>
      <c r="G86" s="5"/>
      <c r="H86" s="5"/>
      <c r="I86" s="5"/>
      <c r="J86" s="5"/>
      <c r="K86" s="5"/>
      <c r="L86" s="5"/>
      <c r="M86" s="5"/>
      <c r="N86" s="5"/>
      <c r="O86" s="5"/>
      <c r="P86" s="5"/>
      <c r="Q86" s="8">
        <f>IF(COUNTA($A86:$B86,$E86,$H86,$K86,$N86,$F86,$I86,$L86,$O86)=0,"",IF($A86="","Nedostaje disciplina",IF($E86="","Nedostaje godište prvog člana",IF($C86="","Godište nije obuhvaćeno uzrasnom tabelom",IF(COUNTIF(INDIRECT("tdisc_"&amp;$C86),$A86)=0,"Disciplina nije moguća za uzrast "&amp;$C86,IF(IF($E86="",0,IF(LOOKUP($E86,INDEX(grupe,0,1),INDEX(grupe,0,2))=$C86,0,1))+IF($H86="",0,IF(LOOKUP($H86,INDEX(grupe,0,1),INDEX(grupe,0,2))=$C86,0,1))+IF($K86="",0,IF(LOOKUP($K86,INDEX(grupe,0,1),INDEX(grupe,0,2))=$C86,0,1))+IF($N86="",0,IF(LOOKUP($N86,INDEX(grupe,0,1),INDEX(grupe,0,2))=$C86,0,1))&gt;0,"Članovi ekipe nisu iz iste uzrasne grupe",IF(COUNTA($F86,$I86,$L86,$O86)&lt;&gt;COUNTA($E86,$H86,$K86,$N86),"Za svakog člana potrebni su i godište i ime",IF(IF(SUMPRODUCT(--ISERROR(FIND(MID($F86&amp;REPT("a",60),ROW($A$1:$A$60),1),"ABCDEFGHIJKLMNOPQRSTUVWXYZabcdefghijklmnopqrstuvwxyzČĆĐŠŽčćđšž -'")))=0,0,1)+IF(SUMPRODUCT(--ISERROR(FIND(MID($I86&amp;REPT("a",60),ROW($A$1:$A$60),1),"ABCDEFGHIJKLMNOPQRSTUVWXYZabcdefghijklmnopqrstuvwxyzČĆĐŠŽčćđšž -'")))=0,0,1)+IF(SUMPRODUCT(--ISERROR(FIND(MID($L86&amp;REPT("a",60),ROW($A$1:$A$60),1),"ABCDEFGHIJKLMNOPQRSTUVWXYZabcdefghijklmnopqrstuvwxyzČĆĐŠŽčćđšž -'")))=0,0,1)+IF(SUMPRODUCT(--ISERROR(FIND(MID($O86&amp;REPT("a",60),ROW($A$1:$A$60),1),"ABCDEFGHIJKLMNOPQRSTUVWXYZabcdefghijklmnopqrstuvwxyzČĆĐŠŽčćđšž -'")))=0,0,1)&gt;0,"Ime sadrži znakove koji nisu slova",IF(COUNTA($G86,$J86,$M86,$P86)&lt;&gt;COUNTA($F86,$I86,$L86,$O86),"Nedostaje pol za nekog od članova",IF(COUNTA($F86,$I86,$L86,$O86)&lt;VLOOKUP($A86,ekipe,2,FALSE),"Ekipa mora imati najmanje "&amp;VLOOKUP($A86,ekipe,2,FALSE)&amp;" člana",IF(COUNTA($F86,$I86,$L86,$O86)&gt;VLOOKUP($A86,ekipe,3,FALSE),"Ekipa može imati najviše "&amp;VLOOKUP($A86,ekipe,3,FALSE)&amp;" člana",IF($B86="","Nedostaje vrsta ekipe","prijava je kompletna")))))))))))</f>
        <v/>
      </c>
      <c r="R86">
        <f>IF($C86="","sve_ekipne","tdisc_"&amp;$C86)</f>
        <v/>
      </c>
    </row>
    <row r="87" spans="1:18">
      <c r="A87" s="5"/>
      <c r="B87" s="5"/>
      <c r="C87" s="7">
        <f>IF($E87="","",LOOKUP($E87,INDEX(grupe,0,1),INDEX(grupe,0,2)))</f>
        <v/>
      </c>
      <c r="D87" s="7">
        <f>IF($C87="","",VLOOKUP($C87,INDEX(grupe,0,2):INDEX(grupe,0,3),2,FALSE))</f>
        <v/>
      </c>
      <c r="E87" s="5"/>
      <c r="F87" s="5"/>
      <c r="G87" s="5"/>
      <c r="H87" s="5"/>
      <c r="I87" s="5"/>
      <c r="J87" s="5"/>
      <c r="K87" s="5"/>
      <c r="L87" s="5"/>
      <c r="M87" s="5"/>
      <c r="N87" s="5"/>
      <c r="O87" s="5"/>
      <c r="P87" s="5"/>
      <c r="Q87" s="8">
        <f>IF(COUNTA($A87:$B87,$E87,$H87,$K87,$N87,$F87,$I87,$L87,$O87)=0,"",IF($A87="","Nedostaje disciplina",IF($E87="","Nedostaje godište prvog člana",IF($C87="","Godište nije obuhvaćeno uzrasnom tabelom",IF(COUNTIF(INDIRECT("tdisc_"&amp;$C87),$A87)=0,"Disciplina nije moguća za uzrast "&amp;$C87,IF(IF($E87="",0,IF(LOOKUP($E87,INDEX(grupe,0,1),INDEX(grupe,0,2))=$C87,0,1))+IF($H87="",0,IF(LOOKUP($H87,INDEX(grupe,0,1),INDEX(grupe,0,2))=$C87,0,1))+IF($K87="",0,IF(LOOKUP($K87,INDEX(grupe,0,1),INDEX(grupe,0,2))=$C87,0,1))+IF($N87="",0,IF(LOOKUP($N87,INDEX(grupe,0,1),INDEX(grupe,0,2))=$C87,0,1))&gt;0,"Članovi ekipe nisu iz iste uzrasne grupe",IF(COUNTA($F87,$I87,$L87,$O87)&lt;&gt;COUNTA($E87,$H87,$K87,$N87),"Za svakog člana potrebni su i godište i ime",IF(IF(SUMPRODUCT(--ISERROR(FIND(MID($F87&amp;REPT("a",60),ROW($A$1:$A$60),1),"ABCDEFGHIJKLMNOPQRSTUVWXYZabcdefghijklmnopqrstuvwxyzČĆĐŠŽčćđšž -'")))=0,0,1)+IF(SUMPRODUCT(--ISERROR(FIND(MID($I87&amp;REPT("a",60),ROW($A$1:$A$60),1),"ABCDEFGHIJKLMNOPQRSTUVWXYZabcdefghijklmnopqrstuvwxyzČĆĐŠŽčćđšž -'")))=0,0,1)+IF(SUMPRODUCT(--ISERROR(FIND(MID($L87&amp;REPT("a",60),ROW($A$1:$A$60),1),"ABCDEFGHIJKLMNOPQRSTUVWXYZabcdefghijklmnopqrstuvwxyzČĆĐŠŽčćđšž -'")))=0,0,1)+IF(SUMPRODUCT(--ISERROR(FIND(MID($O87&amp;REPT("a",60),ROW($A$1:$A$60),1),"ABCDEFGHIJKLMNOPQRSTUVWXYZabcdefghijklmnopqrstuvwxyzČĆĐŠŽčćđšž -'")))=0,0,1)&gt;0,"Ime sadrži znakove koji nisu slova",IF(COUNTA($G87,$J87,$M87,$P87)&lt;&gt;COUNTA($F87,$I87,$L87,$O87),"Nedostaje pol za nekog od članova",IF(COUNTA($F87,$I87,$L87,$O87)&lt;VLOOKUP($A87,ekipe,2,FALSE),"Ekipa mora imati najmanje "&amp;VLOOKUP($A87,ekipe,2,FALSE)&amp;" člana",IF(COUNTA($F87,$I87,$L87,$O87)&gt;VLOOKUP($A87,ekipe,3,FALSE),"Ekipa može imati najviše "&amp;VLOOKUP($A87,ekipe,3,FALSE)&amp;" člana",IF($B87="","Nedostaje vrsta ekipe","prijava je kompletna")))))))))))</f>
        <v/>
      </c>
      <c r="R87">
        <f>IF($C87="","sve_ekipne","tdisc_"&amp;$C87)</f>
        <v/>
      </c>
    </row>
    <row r="88" spans="1:18">
      <c r="A88" s="5"/>
      <c r="B88" s="5"/>
      <c r="C88" s="7">
        <f>IF($E88="","",LOOKUP($E88,INDEX(grupe,0,1),INDEX(grupe,0,2)))</f>
        <v/>
      </c>
      <c r="D88" s="7">
        <f>IF($C88="","",VLOOKUP($C88,INDEX(grupe,0,2):INDEX(grupe,0,3),2,FALSE))</f>
        <v/>
      </c>
      <c r="E88" s="5"/>
      <c r="F88" s="5"/>
      <c r="G88" s="5"/>
      <c r="H88" s="5"/>
      <c r="I88" s="5"/>
      <c r="J88" s="5"/>
      <c r="K88" s="5"/>
      <c r="L88" s="5"/>
      <c r="M88" s="5"/>
      <c r="N88" s="5"/>
      <c r="O88" s="5"/>
      <c r="P88" s="5"/>
      <c r="Q88" s="8">
        <f>IF(COUNTA($A88:$B88,$E88,$H88,$K88,$N88,$F88,$I88,$L88,$O88)=0,"",IF($A88="","Nedostaje disciplina",IF($E88="","Nedostaje godište prvog člana",IF($C88="","Godište nije obuhvaćeno uzrasnom tabelom",IF(COUNTIF(INDIRECT("tdisc_"&amp;$C88),$A88)=0,"Disciplina nije moguća za uzrast "&amp;$C88,IF(IF($E88="",0,IF(LOOKUP($E88,INDEX(grupe,0,1),INDEX(grupe,0,2))=$C88,0,1))+IF($H88="",0,IF(LOOKUP($H88,INDEX(grupe,0,1),INDEX(grupe,0,2))=$C88,0,1))+IF($K88="",0,IF(LOOKUP($K88,INDEX(grupe,0,1),INDEX(grupe,0,2))=$C88,0,1))+IF($N88="",0,IF(LOOKUP($N88,INDEX(grupe,0,1),INDEX(grupe,0,2))=$C88,0,1))&gt;0,"Članovi ekipe nisu iz iste uzrasne grupe",IF(COUNTA($F88,$I88,$L88,$O88)&lt;&gt;COUNTA($E88,$H88,$K88,$N88),"Za svakog člana potrebni su i godište i ime",IF(IF(SUMPRODUCT(--ISERROR(FIND(MID($F88&amp;REPT("a",60),ROW($A$1:$A$60),1),"ABCDEFGHIJKLMNOPQRSTUVWXYZabcdefghijklmnopqrstuvwxyzČĆĐŠŽčćđšž -'")))=0,0,1)+IF(SUMPRODUCT(--ISERROR(FIND(MID($I88&amp;REPT("a",60),ROW($A$1:$A$60),1),"ABCDEFGHIJKLMNOPQRSTUVWXYZabcdefghijklmnopqrstuvwxyzČĆĐŠŽčćđšž -'")))=0,0,1)+IF(SUMPRODUCT(--ISERROR(FIND(MID($L88&amp;REPT("a",60),ROW($A$1:$A$60),1),"ABCDEFGHIJKLMNOPQRSTUVWXYZabcdefghijklmnopqrstuvwxyzČĆĐŠŽčćđšž -'")))=0,0,1)+IF(SUMPRODUCT(--ISERROR(FIND(MID($O88&amp;REPT("a",60),ROW($A$1:$A$60),1),"ABCDEFGHIJKLMNOPQRSTUVWXYZabcdefghijklmnopqrstuvwxyzČĆĐŠŽčćđšž -'")))=0,0,1)&gt;0,"Ime sadrži znakove koji nisu slova",IF(COUNTA($G88,$J88,$M88,$P88)&lt;&gt;COUNTA($F88,$I88,$L88,$O88),"Nedostaje pol za nekog od članova",IF(COUNTA($F88,$I88,$L88,$O88)&lt;VLOOKUP($A88,ekipe,2,FALSE),"Ekipa mora imati najmanje "&amp;VLOOKUP($A88,ekipe,2,FALSE)&amp;" člana",IF(COUNTA($F88,$I88,$L88,$O88)&gt;VLOOKUP($A88,ekipe,3,FALSE),"Ekipa može imati najviše "&amp;VLOOKUP($A88,ekipe,3,FALSE)&amp;" člana",IF($B88="","Nedostaje vrsta ekipe","prijava je kompletna")))))))))))</f>
        <v/>
      </c>
      <c r="R88">
        <f>IF($C88="","sve_ekipne","tdisc_"&amp;$C88)</f>
        <v/>
      </c>
    </row>
    <row r="89" spans="1:18">
      <c r="A89" s="5"/>
      <c r="B89" s="5"/>
      <c r="C89" s="7">
        <f>IF($E89="","",LOOKUP($E89,INDEX(grupe,0,1),INDEX(grupe,0,2)))</f>
        <v/>
      </c>
      <c r="D89" s="7">
        <f>IF($C89="","",VLOOKUP($C89,INDEX(grupe,0,2):INDEX(grupe,0,3),2,FALSE))</f>
        <v/>
      </c>
      <c r="E89" s="5"/>
      <c r="F89" s="5"/>
      <c r="G89" s="5"/>
      <c r="H89" s="5"/>
      <c r="I89" s="5"/>
      <c r="J89" s="5"/>
      <c r="K89" s="5"/>
      <c r="L89" s="5"/>
      <c r="M89" s="5"/>
      <c r="N89" s="5"/>
      <c r="O89" s="5"/>
      <c r="P89" s="5"/>
      <c r="Q89" s="8">
        <f>IF(COUNTA($A89:$B89,$E89,$H89,$K89,$N89,$F89,$I89,$L89,$O89)=0,"",IF($A89="","Nedostaje disciplina",IF($E89="","Nedostaje godište prvog člana",IF($C89="","Godište nije obuhvaćeno uzrasnom tabelom",IF(COUNTIF(INDIRECT("tdisc_"&amp;$C89),$A89)=0,"Disciplina nije moguća za uzrast "&amp;$C89,IF(IF($E89="",0,IF(LOOKUP($E89,INDEX(grupe,0,1),INDEX(grupe,0,2))=$C89,0,1))+IF($H89="",0,IF(LOOKUP($H89,INDEX(grupe,0,1),INDEX(grupe,0,2))=$C89,0,1))+IF($K89="",0,IF(LOOKUP($K89,INDEX(grupe,0,1),INDEX(grupe,0,2))=$C89,0,1))+IF($N89="",0,IF(LOOKUP($N89,INDEX(grupe,0,1),INDEX(grupe,0,2))=$C89,0,1))&gt;0,"Članovi ekipe nisu iz iste uzrasne grupe",IF(COUNTA($F89,$I89,$L89,$O89)&lt;&gt;COUNTA($E89,$H89,$K89,$N89),"Za svakog člana potrebni su i godište i ime",IF(IF(SUMPRODUCT(--ISERROR(FIND(MID($F89&amp;REPT("a",60),ROW($A$1:$A$60),1),"ABCDEFGHIJKLMNOPQRSTUVWXYZabcdefghijklmnopqrstuvwxyzČĆĐŠŽčćđšž -'")))=0,0,1)+IF(SUMPRODUCT(--ISERROR(FIND(MID($I89&amp;REPT("a",60),ROW($A$1:$A$60),1),"ABCDEFGHIJKLMNOPQRSTUVWXYZabcdefghijklmnopqrstuvwxyzČĆĐŠŽčćđšž -'")))=0,0,1)+IF(SUMPRODUCT(--ISERROR(FIND(MID($L89&amp;REPT("a",60),ROW($A$1:$A$60),1),"ABCDEFGHIJKLMNOPQRSTUVWXYZabcdefghijklmnopqrstuvwxyzČĆĐŠŽčćđšž -'")))=0,0,1)+IF(SUMPRODUCT(--ISERROR(FIND(MID($O89&amp;REPT("a",60),ROW($A$1:$A$60),1),"ABCDEFGHIJKLMNOPQRSTUVWXYZabcdefghijklmnopqrstuvwxyzČĆĐŠŽčćđšž -'")))=0,0,1)&gt;0,"Ime sadrži znakove koji nisu slova",IF(COUNTA($G89,$J89,$M89,$P89)&lt;&gt;COUNTA($F89,$I89,$L89,$O89),"Nedostaje pol za nekog od članova",IF(COUNTA($F89,$I89,$L89,$O89)&lt;VLOOKUP($A89,ekipe,2,FALSE),"Ekipa mora imati najmanje "&amp;VLOOKUP($A89,ekipe,2,FALSE)&amp;" člana",IF(COUNTA($F89,$I89,$L89,$O89)&gt;VLOOKUP($A89,ekipe,3,FALSE),"Ekipa može imati najviše "&amp;VLOOKUP($A89,ekipe,3,FALSE)&amp;" člana",IF($B89="","Nedostaje vrsta ekipe","prijava je kompletna")))))))))))</f>
        <v/>
      </c>
      <c r="R89">
        <f>IF($C89="","sve_ekipne","tdisc_"&amp;$C89)</f>
        <v/>
      </c>
    </row>
    <row r="90" spans="1:18">
      <c r="A90" s="5"/>
      <c r="B90" s="5"/>
      <c r="C90" s="7">
        <f>IF($E90="","",LOOKUP($E90,INDEX(grupe,0,1),INDEX(grupe,0,2)))</f>
        <v/>
      </c>
      <c r="D90" s="7">
        <f>IF($C90="","",VLOOKUP($C90,INDEX(grupe,0,2):INDEX(grupe,0,3),2,FALSE))</f>
        <v/>
      </c>
      <c r="E90" s="5"/>
      <c r="F90" s="5"/>
      <c r="G90" s="5"/>
      <c r="H90" s="5"/>
      <c r="I90" s="5"/>
      <c r="J90" s="5"/>
      <c r="K90" s="5"/>
      <c r="L90" s="5"/>
      <c r="M90" s="5"/>
      <c r="N90" s="5"/>
      <c r="O90" s="5"/>
      <c r="P90" s="5"/>
      <c r="Q90" s="8">
        <f>IF(COUNTA($A90:$B90,$E90,$H90,$K90,$N90,$F90,$I90,$L90,$O90)=0,"",IF($A90="","Nedostaje disciplina",IF($E90="","Nedostaje godište prvog člana",IF($C90="","Godište nije obuhvaćeno uzrasnom tabelom",IF(COUNTIF(INDIRECT("tdisc_"&amp;$C90),$A90)=0,"Disciplina nije moguća za uzrast "&amp;$C90,IF(IF($E90="",0,IF(LOOKUP($E90,INDEX(grupe,0,1),INDEX(grupe,0,2))=$C90,0,1))+IF($H90="",0,IF(LOOKUP($H90,INDEX(grupe,0,1),INDEX(grupe,0,2))=$C90,0,1))+IF($K90="",0,IF(LOOKUP($K90,INDEX(grupe,0,1),INDEX(grupe,0,2))=$C90,0,1))+IF($N90="",0,IF(LOOKUP($N90,INDEX(grupe,0,1),INDEX(grupe,0,2))=$C90,0,1))&gt;0,"Članovi ekipe nisu iz iste uzrasne grupe",IF(COUNTA($F90,$I90,$L90,$O90)&lt;&gt;COUNTA($E90,$H90,$K90,$N90),"Za svakog člana potrebni su i godište i ime",IF(IF(SUMPRODUCT(--ISERROR(FIND(MID($F90&amp;REPT("a",60),ROW($A$1:$A$60),1),"ABCDEFGHIJKLMNOPQRSTUVWXYZabcdefghijklmnopqrstuvwxyzČĆĐŠŽčćđšž -'")))=0,0,1)+IF(SUMPRODUCT(--ISERROR(FIND(MID($I90&amp;REPT("a",60),ROW($A$1:$A$60),1),"ABCDEFGHIJKLMNOPQRSTUVWXYZabcdefghijklmnopqrstuvwxyzČĆĐŠŽčćđšž -'")))=0,0,1)+IF(SUMPRODUCT(--ISERROR(FIND(MID($L90&amp;REPT("a",60),ROW($A$1:$A$60),1),"ABCDEFGHIJKLMNOPQRSTUVWXYZabcdefghijklmnopqrstuvwxyzČĆĐŠŽčćđšž -'")))=0,0,1)+IF(SUMPRODUCT(--ISERROR(FIND(MID($O90&amp;REPT("a",60),ROW($A$1:$A$60),1),"ABCDEFGHIJKLMNOPQRSTUVWXYZabcdefghijklmnopqrstuvwxyzČĆĐŠŽčćđšž -'")))=0,0,1)&gt;0,"Ime sadrži znakove koji nisu slova",IF(COUNTA($G90,$J90,$M90,$P90)&lt;&gt;COUNTA($F90,$I90,$L90,$O90),"Nedostaje pol za nekog od članova",IF(COUNTA($F90,$I90,$L90,$O90)&lt;VLOOKUP($A90,ekipe,2,FALSE),"Ekipa mora imati najmanje "&amp;VLOOKUP($A90,ekipe,2,FALSE)&amp;" člana",IF(COUNTA($F90,$I90,$L90,$O90)&gt;VLOOKUP($A90,ekipe,3,FALSE),"Ekipa može imati najviše "&amp;VLOOKUP($A90,ekipe,3,FALSE)&amp;" člana",IF($B90="","Nedostaje vrsta ekipe","prijava je kompletna")))))))))))</f>
        <v/>
      </c>
      <c r="R90">
        <f>IF($C90="","sve_ekipne","tdisc_"&amp;$C90)</f>
        <v/>
      </c>
    </row>
    <row r="91" spans="1:18">
      <c r="A91" s="5"/>
      <c r="B91" s="5"/>
      <c r="C91" s="7">
        <f>IF($E91="","",LOOKUP($E91,INDEX(grupe,0,1),INDEX(grupe,0,2)))</f>
        <v/>
      </c>
      <c r="D91" s="7">
        <f>IF($C91="","",VLOOKUP($C91,INDEX(grupe,0,2):INDEX(grupe,0,3),2,FALSE))</f>
        <v/>
      </c>
      <c r="E91" s="5"/>
      <c r="F91" s="5"/>
      <c r="G91" s="5"/>
      <c r="H91" s="5"/>
      <c r="I91" s="5"/>
      <c r="J91" s="5"/>
      <c r="K91" s="5"/>
      <c r="L91" s="5"/>
      <c r="M91" s="5"/>
      <c r="N91" s="5"/>
      <c r="O91" s="5"/>
      <c r="P91" s="5"/>
      <c r="Q91" s="8">
        <f>IF(COUNTA($A91:$B91,$E91,$H91,$K91,$N91,$F91,$I91,$L91,$O91)=0,"",IF($A91="","Nedostaje disciplina",IF($E91="","Nedostaje godište prvog člana",IF($C91="","Godište nije obuhvaćeno uzrasnom tabelom",IF(COUNTIF(INDIRECT("tdisc_"&amp;$C91),$A91)=0,"Disciplina nije moguća za uzrast "&amp;$C91,IF(IF($E91="",0,IF(LOOKUP($E91,INDEX(grupe,0,1),INDEX(grupe,0,2))=$C91,0,1))+IF($H91="",0,IF(LOOKUP($H91,INDEX(grupe,0,1),INDEX(grupe,0,2))=$C91,0,1))+IF($K91="",0,IF(LOOKUP($K91,INDEX(grupe,0,1),INDEX(grupe,0,2))=$C91,0,1))+IF($N91="",0,IF(LOOKUP($N91,INDEX(grupe,0,1),INDEX(grupe,0,2))=$C91,0,1))&gt;0,"Članovi ekipe nisu iz iste uzrasne grupe",IF(COUNTA($F91,$I91,$L91,$O91)&lt;&gt;COUNTA($E91,$H91,$K91,$N91),"Za svakog člana potrebni su i godište i ime",IF(IF(SUMPRODUCT(--ISERROR(FIND(MID($F91&amp;REPT("a",60),ROW($A$1:$A$60),1),"ABCDEFGHIJKLMNOPQRSTUVWXYZabcdefghijklmnopqrstuvwxyzČĆĐŠŽčćđšž -'")))=0,0,1)+IF(SUMPRODUCT(--ISERROR(FIND(MID($I91&amp;REPT("a",60),ROW($A$1:$A$60),1),"ABCDEFGHIJKLMNOPQRSTUVWXYZabcdefghijklmnopqrstuvwxyzČĆĐŠŽčćđšž -'")))=0,0,1)+IF(SUMPRODUCT(--ISERROR(FIND(MID($L91&amp;REPT("a",60),ROW($A$1:$A$60),1),"ABCDEFGHIJKLMNOPQRSTUVWXYZabcdefghijklmnopqrstuvwxyzČĆĐŠŽčćđšž -'")))=0,0,1)+IF(SUMPRODUCT(--ISERROR(FIND(MID($O91&amp;REPT("a",60),ROW($A$1:$A$60),1),"ABCDEFGHIJKLMNOPQRSTUVWXYZabcdefghijklmnopqrstuvwxyzČĆĐŠŽčćđšž -'")))=0,0,1)&gt;0,"Ime sadrži znakove koji nisu slova",IF(COUNTA($G91,$J91,$M91,$P91)&lt;&gt;COUNTA($F91,$I91,$L91,$O91),"Nedostaje pol za nekog od članova",IF(COUNTA($F91,$I91,$L91,$O91)&lt;VLOOKUP($A91,ekipe,2,FALSE),"Ekipa mora imati najmanje "&amp;VLOOKUP($A91,ekipe,2,FALSE)&amp;" člana",IF(COUNTA($F91,$I91,$L91,$O91)&gt;VLOOKUP($A91,ekipe,3,FALSE),"Ekipa može imati najviše "&amp;VLOOKUP($A91,ekipe,3,FALSE)&amp;" člana",IF($B91="","Nedostaje vrsta ekipe","prijava je kompletna")))))))))))</f>
        <v/>
      </c>
      <c r="R91">
        <f>IF($C91="","sve_ekipne","tdisc_"&amp;$C91)</f>
        <v/>
      </c>
    </row>
    <row r="92" spans="1:18">
      <c r="A92" s="5"/>
      <c r="B92" s="5"/>
      <c r="C92" s="7">
        <f>IF($E92="","",LOOKUP($E92,INDEX(grupe,0,1),INDEX(grupe,0,2)))</f>
        <v/>
      </c>
      <c r="D92" s="7">
        <f>IF($C92="","",VLOOKUP($C92,INDEX(grupe,0,2):INDEX(grupe,0,3),2,FALSE))</f>
        <v/>
      </c>
      <c r="E92" s="5"/>
      <c r="F92" s="5"/>
      <c r="G92" s="5"/>
      <c r="H92" s="5"/>
      <c r="I92" s="5"/>
      <c r="J92" s="5"/>
      <c r="K92" s="5"/>
      <c r="L92" s="5"/>
      <c r="M92" s="5"/>
      <c r="N92" s="5"/>
      <c r="O92" s="5"/>
      <c r="P92" s="5"/>
      <c r="Q92" s="8">
        <f>IF(COUNTA($A92:$B92,$E92,$H92,$K92,$N92,$F92,$I92,$L92,$O92)=0,"",IF($A92="","Nedostaje disciplina",IF($E92="","Nedostaje godište prvog člana",IF($C92="","Godište nije obuhvaćeno uzrasnom tabelom",IF(COUNTIF(INDIRECT("tdisc_"&amp;$C92),$A92)=0,"Disciplina nije moguća za uzrast "&amp;$C92,IF(IF($E92="",0,IF(LOOKUP($E92,INDEX(grupe,0,1),INDEX(grupe,0,2))=$C92,0,1))+IF($H92="",0,IF(LOOKUP($H92,INDEX(grupe,0,1),INDEX(grupe,0,2))=$C92,0,1))+IF($K92="",0,IF(LOOKUP($K92,INDEX(grupe,0,1),INDEX(grupe,0,2))=$C92,0,1))+IF($N92="",0,IF(LOOKUP($N92,INDEX(grupe,0,1),INDEX(grupe,0,2))=$C92,0,1))&gt;0,"Članovi ekipe nisu iz iste uzrasne grupe",IF(COUNTA($F92,$I92,$L92,$O92)&lt;&gt;COUNTA($E92,$H92,$K92,$N92),"Za svakog člana potrebni su i godište i ime",IF(IF(SUMPRODUCT(--ISERROR(FIND(MID($F92&amp;REPT("a",60),ROW($A$1:$A$60),1),"ABCDEFGHIJKLMNOPQRSTUVWXYZabcdefghijklmnopqrstuvwxyzČĆĐŠŽčćđšž -'")))=0,0,1)+IF(SUMPRODUCT(--ISERROR(FIND(MID($I92&amp;REPT("a",60),ROW($A$1:$A$60),1),"ABCDEFGHIJKLMNOPQRSTUVWXYZabcdefghijklmnopqrstuvwxyzČĆĐŠŽčćđšž -'")))=0,0,1)+IF(SUMPRODUCT(--ISERROR(FIND(MID($L92&amp;REPT("a",60),ROW($A$1:$A$60),1),"ABCDEFGHIJKLMNOPQRSTUVWXYZabcdefghijklmnopqrstuvwxyzČĆĐŠŽčćđšž -'")))=0,0,1)+IF(SUMPRODUCT(--ISERROR(FIND(MID($O92&amp;REPT("a",60),ROW($A$1:$A$60),1),"ABCDEFGHIJKLMNOPQRSTUVWXYZabcdefghijklmnopqrstuvwxyzČĆĐŠŽčćđšž -'")))=0,0,1)&gt;0,"Ime sadrži znakove koji nisu slova",IF(COUNTA($G92,$J92,$M92,$P92)&lt;&gt;COUNTA($F92,$I92,$L92,$O92),"Nedostaje pol za nekog od članova",IF(COUNTA($F92,$I92,$L92,$O92)&lt;VLOOKUP($A92,ekipe,2,FALSE),"Ekipa mora imati najmanje "&amp;VLOOKUP($A92,ekipe,2,FALSE)&amp;" člana",IF(COUNTA($F92,$I92,$L92,$O92)&gt;VLOOKUP($A92,ekipe,3,FALSE),"Ekipa može imati najviše "&amp;VLOOKUP($A92,ekipe,3,FALSE)&amp;" člana",IF($B92="","Nedostaje vrsta ekipe","prijava je kompletna")))))))))))</f>
        <v/>
      </c>
      <c r="R92">
        <f>IF($C92="","sve_ekipne","tdisc_"&amp;$C92)</f>
        <v/>
      </c>
    </row>
    <row r="93" spans="1:18">
      <c r="A93" s="5"/>
      <c r="B93" s="5"/>
      <c r="C93" s="7">
        <f>IF($E93="","",LOOKUP($E93,INDEX(grupe,0,1),INDEX(grupe,0,2)))</f>
        <v/>
      </c>
      <c r="D93" s="7">
        <f>IF($C93="","",VLOOKUP($C93,INDEX(grupe,0,2):INDEX(grupe,0,3),2,FALSE))</f>
        <v/>
      </c>
      <c r="E93" s="5"/>
      <c r="F93" s="5"/>
      <c r="G93" s="5"/>
      <c r="H93" s="5"/>
      <c r="I93" s="5"/>
      <c r="J93" s="5"/>
      <c r="K93" s="5"/>
      <c r="L93" s="5"/>
      <c r="M93" s="5"/>
      <c r="N93" s="5"/>
      <c r="O93" s="5"/>
      <c r="P93" s="5"/>
      <c r="Q93" s="8">
        <f>IF(COUNTA($A93:$B93,$E93,$H93,$K93,$N93,$F93,$I93,$L93,$O93)=0,"",IF($A93="","Nedostaje disciplina",IF($E93="","Nedostaje godište prvog člana",IF($C93="","Godište nije obuhvaćeno uzrasnom tabelom",IF(COUNTIF(INDIRECT("tdisc_"&amp;$C93),$A93)=0,"Disciplina nije moguća za uzrast "&amp;$C93,IF(IF($E93="",0,IF(LOOKUP($E93,INDEX(grupe,0,1),INDEX(grupe,0,2))=$C93,0,1))+IF($H93="",0,IF(LOOKUP($H93,INDEX(grupe,0,1),INDEX(grupe,0,2))=$C93,0,1))+IF($K93="",0,IF(LOOKUP($K93,INDEX(grupe,0,1),INDEX(grupe,0,2))=$C93,0,1))+IF($N93="",0,IF(LOOKUP($N93,INDEX(grupe,0,1),INDEX(grupe,0,2))=$C93,0,1))&gt;0,"Članovi ekipe nisu iz iste uzrasne grupe",IF(COUNTA($F93,$I93,$L93,$O93)&lt;&gt;COUNTA($E93,$H93,$K93,$N93),"Za svakog člana potrebni su i godište i ime",IF(IF(SUMPRODUCT(--ISERROR(FIND(MID($F93&amp;REPT("a",60),ROW($A$1:$A$60),1),"ABCDEFGHIJKLMNOPQRSTUVWXYZabcdefghijklmnopqrstuvwxyzČĆĐŠŽčćđšž -'")))=0,0,1)+IF(SUMPRODUCT(--ISERROR(FIND(MID($I93&amp;REPT("a",60),ROW($A$1:$A$60),1),"ABCDEFGHIJKLMNOPQRSTUVWXYZabcdefghijklmnopqrstuvwxyzČĆĐŠŽčćđšž -'")))=0,0,1)+IF(SUMPRODUCT(--ISERROR(FIND(MID($L93&amp;REPT("a",60),ROW($A$1:$A$60),1),"ABCDEFGHIJKLMNOPQRSTUVWXYZabcdefghijklmnopqrstuvwxyzČĆĐŠŽčćđšž -'")))=0,0,1)+IF(SUMPRODUCT(--ISERROR(FIND(MID($O93&amp;REPT("a",60),ROW($A$1:$A$60),1),"ABCDEFGHIJKLMNOPQRSTUVWXYZabcdefghijklmnopqrstuvwxyzČĆĐŠŽčćđšž -'")))=0,0,1)&gt;0,"Ime sadrži znakove koji nisu slova",IF(COUNTA($G93,$J93,$M93,$P93)&lt;&gt;COUNTA($F93,$I93,$L93,$O93),"Nedostaje pol za nekog od članova",IF(COUNTA($F93,$I93,$L93,$O93)&lt;VLOOKUP($A93,ekipe,2,FALSE),"Ekipa mora imati najmanje "&amp;VLOOKUP($A93,ekipe,2,FALSE)&amp;" člana",IF(COUNTA($F93,$I93,$L93,$O93)&gt;VLOOKUP($A93,ekipe,3,FALSE),"Ekipa može imati najviše "&amp;VLOOKUP($A93,ekipe,3,FALSE)&amp;" člana",IF($B93="","Nedostaje vrsta ekipe","prijava je kompletna")))))))))))</f>
        <v/>
      </c>
      <c r="R93">
        <f>IF($C93="","sve_ekipne","tdisc_"&amp;$C93)</f>
        <v/>
      </c>
    </row>
    <row r="94" spans="1:18">
      <c r="A94" s="5"/>
      <c r="B94" s="5"/>
      <c r="C94" s="7">
        <f>IF($E94="","",LOOKUP($E94,INDEX(grupe,0,1),INDEX(grupe,0,2)))</f>
        <v/>
      </c>
      <c r="D94" s="7">
        <f>IF($C94="","",VLOOKUP($C94,INDEX(grupe,0,2):INDEX(grupe,0,3),2,FALSE))</f>
        <v/>
      </c>
      <c r="E94" s="5"/>
      <c r="F94" s="5"/>
      <c r="G94" s="5"/>
      <c r="H94" s="5"/>
      <c r="I94" s="5"/>
      <c r="J94" s="5"/>
      <c r="K94" s="5"/>
      <c r="L94" s="5"/>
      <c r="M94" s="5"/>
      <c r="N94" s="5"/>
      <c r="O94" s="5"/>
      <c r="P94" s="5"/>
      <c r="Q94" s="8">
        <f>IF(COUNTA($A94:$B94,$E94,$H94,$K94,$N94,$F94,$I94,$L94,$O94)=0,"",IF($A94="","Nedostaje disciplina",IF($E94="","Nedostaje godište prvog člana",IF($C94="","Godište nije obuhvaćeno uzrasnom tabelom",IF(COUNTIF(INDIRECT("tdisc_"&amp;$C94),$A94)=0,"Disciplina nije moguća za uzrast "&amp;$C94,IF(IF($E94="",0,IF(LOOKUP($E94,INDEX(grupe,0,1),INDEX(grupe,0,2))=$C94,0,1))+IF($H94="",0,IF(LOOKUP($H94,INDEX(grupe,0,1),INDEX(grupe,0,2))=$C94,0,1))+IF($K94="",0,IF(LOOKUP($K94,INDEX(grupe,0,1),INDEX(grupe,0,2))=$C94,0,1))+IF($N94="",0,IF(LOOKUP($N94,INDEX(grupe,0,1),INDEX(grupe,0,2))=$C94,0,1))&gt;0,"Članovi ekipe nisu iz iste uzrasne grupe",IF(COUNTA($F94,$I94,$L94,$O94)&lt;&gt;COUNTA($E94,$H94,$K94,$N94),"Za svakog člana potrebni su i godište i ime",IF(IF(SUMPRODUCT(--ISERROR(FIND(MID($F94&amp;REPT("a",60),ROW($A$1:$A$60),1),"ABCDEFGHIJKLMNOPQRSTUVWXYZabcdefghijklmnopqrstuvwxyzČĆĐŠŽčćđšž -'")))=0,0,1)+IF(SUMPRODUCT(--ISERROR(FIND(MID($I94&amp;REPT("a",60),ROW($A$1:$A$60),1),"ABCDEFGHIJKLMNOPQRSTUVWXYZabcdefghijklmnopqrstuvwxyzČĆĐŠŽčćđšž -'")))=0,0,1)+IF(SUMPRODUCT(--ISERROR(FIND(MID($L94&amp;REPT("a",60),ROW($A$1:$A$60),1),"ABCDEFGHIJKLMNOPQRSTUVWXYZabcdefghijklmnopqrstuvwxyzČĆĐŠŽčćđšž -'")))=0,0,1)+IF(SUMPRODUCT(--ISERROR(FIND(MID($O94&amp;REPT("a",60),ROW($A$1:$A$60),1),"ABCDEFGHIJKLMNOPQRSTUVWXYZabcdefghijklmnopqrstuvwxyzČĆĐŠŽčćđšž -'")))=0,0,1)&gt;0,"Ime sadrži znakove koji nisu slova",IF(COUNTA($G94,$J94,$M94,$P94)&lt;&gt;COUNTA($F94,$I94,$L94,$O94),"Nedostaje pol za nekog od članova",IF(COUNTA($F94,$I94,$L94,$O94)&lt;VLOOKUP($A94,ekipe,2,FALSE),"Ekipa mora imati najmanje "&amp;VLOOKUP($A94,ekipe,2,FALSE)&amp;" člana",IF(COUNTA($F94,$I94,$L94,$O94)&gt;VLOOKUP($A94,ekipe,3,FALSE),"Ekipa može imati najviše "&amp;VLOOKUP($A94,ekipe,3,FALSE)&amp;" člana",IF($B94="","Nedostaje vrsta ekipe","prijava je kompletna")))))))))))</f>
        <v/>
      </c>
      <c r="R94">
        <f>IF($C94="","sve_ekipne","tdisc_"&amp;$C94)</f>
        <v/>
      </c>
    </row>
    <row r="95" spans="1:18">
      <c r="A95" s="5"/>
      <c r="B95" s="5"/>
      <c r="C95" s="7">
        <f>IF($E95="","",LOOKUP($E95,INDEX(grupe,0,1),INDEX(grupe,0,2)))</f>
        <v/>
      </c>
      <c r="D95" s="7">
        <f>IF($C95="","",VLOOKUP($C95,INDEX(grupe,0,2):INDEX(grupe,0,3),2,FALSE))</f>
        <v/>
      </c>
      <c r="E95" s="5"/>
      <c r="F95" s="5"/>
      <c r="G95" s="5"/>
      <c r="H95" s="5"/>
      <c r="I95" s="5"/>
      <c r="J95" s="5"/>
      <c r="K95" s="5"/>
      <c r="L95" s="5"/>
      <c r="M95" s="5"/>
      <c r="N95" s="5"/>
      <c r="O95" s="5"/>
      <c r="P95" s="5"/>
      <c r="Q95" s="8">
        <f>IF(COUNTA($A95:$B95,$E95,$H95,$K95,$N95,$F95,$I95,$L95,$O95)=0,"",IF($A95="","Nedostaje disciplina",IF($E95="","Nedostaje godište prvog člana",IF($C95="","Godište nije obuhvaćeno uzrasnom tabelom",IF(COUNTIF(INDIRECT("tdisc_"&amp;$C95),$A95)=0,"Disciplina nije moguća za uzrast "&amp;$C95,IF(IF($E95="",0,IF(LOOKUP($E95,INDEX(grupe,0,1),INDEX(grupe,0,2))=$C95,0,1))+IF($H95="",0,IF(LOOKUP($H95,INDEX(grupe,0,1),INDEX(grupe,0,2))=$C95,0,1))+IF($K95="",0,IF(LOOKUP($K95,INDEX(grupe,0,1),INDEX(grupe,0,2))=$C95,0,1))+IF($N95="",0,IF(LOOKUP($N95,INDEX(grupe,0,1),INDEX(grupe,0,2))=$C95,0,1))&gt;0,"Članovi ekipe nisu iz iste uzrasne grupe",IF(COUNTA($F95,$I95,$L95,$O95)&lt;&gt;COUNTA($E95,$H95,$K95,$N95),"Za svakog člana potrebni su i godište i ime",IF(IF(SUMPRODUCT(--ISERROR(FIND(MID($F95&amp;REPT("a",60),ROW($A$1:$A$60),1),"ABCDEFGHIJKLMNOPQRSTUVWXYZabcdefghijklmnopqrstuvwxyzČĆĐŠŽčćđšž -'")))=0,0,1)+IF(SUMPRODUCT(--ISERROR(FIND(MID($I95&amp;REPT("a",60),ROW($A$1:$A$60),1),"ABCDEFGHIJKLMNOPQRSTUVWXYZabcdefghijklmnopqrstuvwxyzČĆĐŠŽčćđšž -'")))=0,0,1)+IF(SUMPRODUCT(--ISERROR(FIND(MID($L95&amp;REPT("a",60),ROW($A$1:$A$60),1),"ABCDEFGHIJKLMNOPQRSTUVWXYZabcdefghijklmnopqrstuvwxyzČĆĐŠŽčćđšž -'")))=0,0,1)+IF(SUMPRODUCT(--ISERROR(FIND(MID($O95&amp;REPT("a",60),ROW($A$1:$A$60),1),"ABCDEFGHIJKLMNOPQRSTUVWXYZabcdefghijklmnopqrstuvwxyzČĆĐŠŽčćđšž -'")))=0,0,1)&gt;0,"Ime sadrži znakove koji nisu slova",IF(COUNTA($G95,$J95,$M95,$P95)&lt;&gt;COUNTA($F95,$I95,$L95,$O95),"Nedostaje pol za nekog od članova",IF(COUNTA($F95,$I95,$L95,$O95)&lt;VLOOKUP($A95,ekipe,2,FALSE),"Ekipa mora imati najmanje "&amp;VLOOKUP($A95,ekipe,2,FALSE)&amp;" člana",IF(COUNTA($F95,$I95,$L95,$O95)&gt;VLOOKUP($A95,ekipe,3,FALSE),"Ekipa može imati najviše "&amp;VLOOKUP($A95,ekipe,3,FALSE)&amp;" člana",IF($B95="","Nedostaje vrsta ekipe","prijava je kompletna")))))))))))</f>
        <v/>
      </c>
      <c r="R95">
        <f>IF($C95="","sve_ekipne","tdisc_"&amp;$C95)</f>
        <v/>
      </c>
    </row>
    <row r="96" spans="1:18">
      <c r="A96" s="5"/>
      <c r="B96" s="5"/>
      <c r="C96" s="7">
        <f>IF($E96="","",LOOKUP($E96,INDEX(grupe,0,1),INDEX(grupe,0,2)))</f>
        <v/>
      </c>
      <c r="D96" s="7">
        <f>IF($C96="","",VLOOKUP($C96,INDEX(grupe,0,2):INDEX(grupe,0,3),2,FALSE))</f>
        <v/>
      </c>
      <c r="E96" s="5"/>
      <c r="F96" s="5"/>
      <c r="G96" s="5"/>
      <c r="H96" s="5"/>
      <c r="I96" s="5"/>
      <c r="J96" s="5"/>
      <c r="K96" s="5"/>
      <c r="L96" s="5"/>
      <c r="M96" s="5"/>
      <c r="N96" s="5"/>
      <c r="O96" s="5"/>
      <c r="P96" s="5"/>
      <c r="Q96" s="8">
        <f>IF(COUNTA($A96:$B96,$E96,$H96,$K96,$N96,$F96,$I96,$L96,$O96)=0,"",IF($A96="","Nedostaje disciplina",IF($E96="","Nedostaje godište prvog člana",IF($C96="","Godište nije obuhvaćeno uzrasnom tabelom",IF(COUNTIF(INDIRECT("tdisc_"&amp;$C96),$A96)=0,"Disciplina nije moguća za uzrast "&amp;$C96,IF(IF($E96="",0,IF(LOOKUP($E96,INDEX(grupe,0,1),INDEX(grupe,0,2))=$C96,0,1))+IF($H96="",0,IF(LOOKUP($H96,INDEX(grupe,0,1),INDEX(grupe,0,2))=$C96,0,1))+IF($K96="",0,IF(LOOKUP($K96,INDEX(grupe,0,1),INDEX(grupe,0,2))=$C96,0,1))+IF($N96="",0,IF(LOOKUP($N96,INDEX(grupe,0,1),INDEX(grupe,0,2))=$C96,0,1))&gt;0,"Članovi ekipe nisu iz iste uzrasne grupe",IF(COUNTA($F96,$I96,$L96,$O96)&lt;&gt;COUNTA($E96,$H96,$K96,$N96),"Za svakog člana potrebni su i godište i ime",IF(IF(SUMPRODUCT(--ISERROR(FIND(MID($F96&amp;REPT("a",60),ROW($A$1:$A$60),1),"ABCDEFGHIJKLMNOPQRSTUVWXYZabcdefghijklmnopqrstuvwxyzČĆĐŠŽčćđšž -'")))=0,0,1)+IF(SUMPRODUCT(--ISERROR(FIND(MID($I96&amp;REPT("a",60),ROW($A$1:$A$60),1),"ABCDEFGHIJKLMNOPQRSTUVWXYZabcdefghijklmnopqrstuvwxyzČĆĐŠŽčćđšž -'")))=0,0,1)+IF(SUMPRODUCT(--ISERROR(FIND(MID($L96&amp;REPT("a",60),ROW($A$1:$A$60),1),"ABCDEFGHIJKLMNOPQRSTUVWXYZabcdefghijklmnopqrstuvwxyzČĆĐŠŽčćđšž -'")))=0,0,1)+IF(SUMPRODUCT(--ISERROR(FIND(MID($O96&amp;REPT("a",60),ROW($A$1:$A$60),1),"ABCDEFGHIJKLMNOPQRSTUVWXYZabcdefghijklmnopqrstuvwxyzČĆĐŠŽčćđšž -'")))=0,0,1)&gt;0,"Ime sadrži znakove koji nisu slova",IF(COUNTA($G96,$J96,$M96,$P96)&lt;&gt;COUNTA($F96,$I96,$L96,$O96),"Nedostaje pol za nekog od članova",IF(COUNTA($F96,$I96,$L96,$O96)&lt;VLOOKUP($A96,ekipe,2,FALSE),"Ekipa mora imati najmanje "&amp;VLOOKUP($A96,ekipe,2,FALSE)&amp;" člana",IF(COUNTA($F96,$I96,$L96,$O96)&gt;VLOOKUP($A96,ekipe,3,FALSE),"Ekipa može imati najviše "&amp;VLOOKUP($A96,ekipe,3,FALSE)&amp;" člana",IF($B96="","Nedostaje vrsta ekipe","prijava je kompletna")))))))))))</f>
        <v/>
      </c>
      <c r="R96">
        <f>IF($C96="","sve_ekipne","tdisc_"&amp;$C96)</f>
        <v/>
      </c>
    </row>
    <row r="97" spans="1:18">
      <c r="A97" s="5"/>
      <c r="B97" s="5"/>
      <c r="C97" s="7">
        <f>IF($E97="","",LOOKUP($E97,INDEX(grupe,0,1),INDEX(grupe,0,2)))</f>
        <v/>
      </c>
      <c r="D97" s="7">
        <f>IF($C97="","",VLOOKUP($C97,INDEX(grupe,0,2):INDEX(grupe,0,3),2,FALSE))</f>
        <v/>
      </c>
      <c r="E97" s="5"/>
      <c r="F97" s="5"/>
      <c r="G97" s="5"/>
      <c r="H97" s="5"/>
      <c r="I97" s="5"/>
      <c r="J97" s="5"/>
      <c r="K97" s="5"/>
      <c r="L97" s="5"/>
      <c r="M97" s="5"/>
      <c r="N97" s="5"/>
      <c r="O97" s="5"/>
      <c r="P97" s="5"/>
      <c r="Q97" s="8">
        <f>IF(COUNTA($A97:$B97,$E97,$H97,$K97,$N97,$F97,$I97,$L97,$O97)=0,"",IF($A97="","Nedostaje disciplina",IF($E97="","Nedostaje godište prvog člana",IF($C97="","Godište nije obuhvaćeno uzrasnom tabelom",IF(COUNTIF(INDIRECT("tdisc_"&amp;$C97),$A97)=0,"Disciplina nije moguća za uzrast "&amp;$C97,IF(IF($E97="",0,IF(LOOKUP($E97,INDEX(grupe,0,1),INDEX(grupe,0,2))=$C97,0,1))+IF($H97="",0,IF(LOOKUP($H97,INDEX(grupe,0,1),INDEX(grupe,0,2))=$C97,0,1))+IF($K97="",0,IF(LOOKUP($K97,INDEX(grupe,0,1),INDEX(grupe,0,2))=$C97,0,1))+IF($N97="",0,IF(LOOKUP($N97,INDEX(grupe,0,1),INDEX(grupe,0,2))=$C97,0,1))&gt;0,"Članovi ekipe nisu iz iste uzrasne grupe",IF(COUNTA($F97,$I97,$L97,$O97)&lt;&gt;COUNTA($E97,$H97,$K97,$N97),"Za svakog člana potrebni su i godište i ime",IF(IF(SUMPRODUCT(--ISERROR(FIND(MID($F97&amp;REPT("a",60),ROW($A$1:$A$60),1),"ABCDEFGHIJKLMNOPQRSTUVWXYZabcdefghijklmnopqrstuvwxyzČĆĐŠŽčćđšž -'")))=0,0,1)+IF(SUMPRODUCT(--ISERROR(FIND(MID($I97&amp;REPT("a",60),ROW($A$1:$A$60),1),"ABCDEFGHIJKLMNOPQRSTUVWXYZabcdefghijklmnopqrstuvwxyzČĆĐŠŽčćđšž -'")))=0,0,1)+IF(SUMPRODUCT(--ISERROR(FIND(MID($L97&amp;REPT("a",60),ROW($A$1:$A$60),1),"ABCDEFGHIJKLMNOPQRSTUVWXYZabcdefghijklmnopqrstuvwxyzČĆĐŠŽčćđšž -'")))=0,0,1)+IF(SUMPRODUCT(--ISERROR(FIND(MID($O97&amp;REPT("a",60),ROW($A$1:$A$60),1),"ABCDEFGHIJKLMNOPQRSTUVWXYZabcdefghijklmnopqrstuvwxyzČĆĐŠŽčćđšž -'")))=0,0,1)&gt;0,"Ime sadrži znakove koji nisu slova",IF(COUNTA($G97,$J97,$M97,$P97)&lt;&gt;COUNTA($F97,$I97,$L97,$O97),"Nedostaje pol za nekog od članova",IF(COUNTA($F97,$I97,$L97,$O97)&lt;VLOOKUP($A97,ekipe,2,FALSE),"Ekipa mora imati najmanje "&amp;VLOOKUP($A97,ekipe,2,FALSE)&amp;" člana",IF(COUNTA($F97,$I97,$L97,$O97)&gt;VLOOKUP($A97,ekipe,3,FALSE),"Ekipa može imati najviše "&amp;VLOOKUP($A97,ekipe,3,FALSE)&amp;" člana",IF($B97="","Nedostaje vrsta ekipe","prijava je kompletna")))))))))))</f>
        <v/>
      </c>
      <c r="R97">
        <f>IF($C97="","sve_ekipne","tdisc_"&amp;$C97)</f>
        <v/>
      </c>
    </row>
    <row r="98" spans="1:18">
      <c r="A98" s="5"/>
      <c r="B98" s="5"/>
      <c r="C98" s="7">
        <f>IF($E98="","",LOOKUP($E98,INDEX(grupe,0,1),INDEX(grupe,0,2)))</f>
        <v/>
      </c>
      <c r="D98" s="7">
        <f>IF($C98="","",VLOOKUP($C98,INDEX(grupe,0,2):INDEX(grupe,0,3),2,FALSE))</f>
        <v/>
      </c>
      <c r="E98" s="5"/>
      <c r="F98" s="5"/>
      <c r="G98" s="5"/>
      <c r="H98" s="5"/>
      <c r="I98" s="5"/>
      <c r="J98" s="5"/>
      <c r="K98" s="5"/>
      <c r="L98" s="5"/>
      <c r="M98" s="5"/>
      <c r="N98" s="5"/>
      <c r="O98" s="5"/>
      <c r="P98" s="5"/>
      <c r="Q98" s="8">
        <f>IF(COUNTA($A98:$B98,$E98,$H98,$K98,$N98,$F98,$I98,$L98,$O98)=0,"",IF($A98="","Nedostaje disciplina",IF($E98="","Nedostaje godište prvog člana",IF($C98="","Godište nije obuhvaćeno uzrasnom tabelom",IF(COUNTIF(INDIRECT("tdisc_"&amp;$C98),$A98)=0,"Disciplina nije moguća za uzrast "&amp;$C98,IF(IF($E98="",0,IF(LOOKUP($E98,INDEX(grupe,0,1),INDEX(grupe,0,2))=$C98,0,1))+IF($H98="",0,IF(LOOKUP($H98,INDEX(grupe,0,1),INDEX(grupe,0,2))=$C98,0,1))+IF($K98="",0,IF(LOOKUP($K98,INDEX(grupe,0,1),INDEX(grupe,0,2))=$C98,0,1))+IF($N98="",0,IF(LOOKUP($N98,INDEX(grupe,0,1),INDEX(grupe,0,2))=$C98,0,1))&gt;0,"Članovi ekipe nisu iz iste uzrasne grupe",IF(COUNTA($F98,$I98,$L98,$O98)&lt;&gt;COUNTA($E98,$H98,$K98,$N98),"Za svakog člana potrebni su i godište i ime",IF(IF(SUMPRODUCT(--ISERROR(FIND(MID($F98&amp;REPT("a",60),ROW($A$1:$A$60),1),"ABCDEFGHIJKLMNOPQRSTUVWXYZabcdefghijklmnopqrstuvwxyzČĆĐŠŽčćđšž -'")))=0,0,1)+IF(SUMPRODUCT(--ISERROR(FIND(MID($I98&amp;REPT("a",60),ROW($A$1:$A$60),1),"ABCDEFGHIJKLMNOPQRSTUVWXYZabcdefghijklmnopqrstuvwxyzČĆĐŠŽčćđšž -'")))=0,0,1)+IF(SUMPRODUCT(--ISERROR(FIND(MID($L98&amp;REPT("a",60),ROW($A$1:$A$60),1),"ABCDEFGHIJKLMNOPQRSTUVWXYZabcdefghijklmnopqrstuvwxyzČĆĐŠŽčćđšž -'")))=0,0,1)+IF(SUMPRODUCT(--ISERROR(FIND(MID($O98&amp;REPT("a",60),ROW($A$1:$A$60),1),"ABCDEFGHIJKLMNOPQRSTUVWXYZabcdefghijklmnopqrstuvwxyzČĆĐŠŽčćđšž -'")))=0,0,1)&gt;0,"Ime sadrži znakove koji nisu slova",IF(COUNTA($G98,$J98,$M98,$P98)&lt;&gt;COUNTA($F98,$I98,$L98,$O98),"Nedostaje pol za nekog od članova",IF(COUNTA($F98,$I98,$L98,$O98)&lt;VLOOKUP($A98,ekipe,2,FALSE),"Ekipa mora imati najmanje "&amp;VLOOKUP($A98,ekipe,2,FALSE)&amp;" člana",IF(COUNTA($F98,$I98,$L98,$O98)&gt;VLOOKUP($A98,ekipe,3,FALSE),"Ekipa može imati najviše "&amp;VLOOKUP($A98,ekipe,3,FALSE)&amp;" člana",IF($B98="","Nedostaje vrsta ekipe","prijava je kompletna")))))))))))</f>
        <v/>
      </c>
      <c r="R98">
        <f>IF($C98="","sve_ekipne","tdisc_"&amp;$C98)</f>
        <v/>
      </c>
    </row>
    <row r="99" spans="1:18">
      <c r="A99" s="5"/>
      <c r="B99" s="5"/>
      <c r="C99" s="7">
        <f>IF($E99="","",LOOKUP($E99,INDEX(grupe,0,1),INDEX(grupe,0,2)))</f>
        <v/>
      </c>
      <c r="D99" s="7">
        <f>IF($C99="","",VLOOKUP($C99,INDEX(grupe,0,2):INDEX(grupe,0,3),2,FALSE))</f>
        <v/>
      </c>
      <c r="E99" s="5"/>
      <c r="F99" s="5"/>
      <c r="G99" s="5"/>
      <c r="H99" s="5"/>
      <c r="I99" s="5"/>
      <c r="J99" s="5"/>
      <c r="K99" s="5"/>
      <c r="L99" s="5"/>
      <c r="M99" s="5"/>
      <c r="N99" s="5"/>
      <c r="O99" s="5"/>
      <c r="P99" s="5"/>
      <c r="Q99" s="8">
        <f>IF(COUNTA($A99:$B99,$E99,$H99,$K99,$N99,$F99,$I99,$L99,$O99)=0,"",IF($A99="","Nedostaje disciplina",IF($E99="","Nedostaje godište prvog člana",IF($C99="","Godište nije obuhvaćeno uzrasnom tabelom",IF(COUNTIF(INDIRECT("tdisc_"&amp;$C99),$A99)=0,"Disciplina nije moguća za uzrast "&amp;$C99,IF(IF($E99="",0,IF(LOOKUP($E99,INDEX(grupe,0,1),INDEX(grupe,0,2))=$C99,0,1))+IF($H99="",0,IF(LOOKUP($H99,INDEX(grupe,0,1),INDEX(grupe,0,2))=$C99,0,1))+IF($K99="",0,IF(LOOKUP($K99,INDEX(grupe,0,1),INDEX(grupe,0,2))=$C99,0,1))+IF($N99="",0,IF(LOOKUP($N99,INDEX(grupe,0,1),INDEX(grupe,0,2))=$C99,0,1))&gt;0,"Članovi ekipe nisu iz iste uzrasne grupe",IF(COUNTA($F99,$I99,$L99,$O99)&lt;&gt;COUNTA($E99,$H99,$K99,$N99),"Za svakog člana potrebni su i godište i ime",IF(IF(SUMPRODUCT(--ISERROR(FIND(MID($F99&amp;REPT("a",60),ROW($A$1:$A$60),1),"ABCDEFGHIJKLMNOPQRSTUVWXYZabcdefghijklmnopqrstuvwxyzČĆĐŠŽčćđšž -'")))=0,0,1)+IF(SUMPRODUCT(--ISERROR(FIND(MID($I99&amp;REPT("a",60),ROW($A$1:$A$60),1),"ABCDEFGHIJKLMNOPQRSTUVWXYZabcdefghijklmnopqrstuvwxyzČĆĐŠŽčćđšž -'")))=0,0,1)+IF(SUMPRODUCT(--ISERROR(FIND(MID($L99&amp;REPT("a",60),ROW($A$1:$A$60),1),"ABCDEFGHIJKLMNOPQRSTUVWXYZabcdefghijklmnopqrstuvwxyzČĆĐŠŽčćđšž -'")))=0,0,1)+IF(SUMPRODUCT(--ISERROR(FIND(MID($O99&amp;REPT("a",60),ROW($A$1:$A$60),1),"ABCDEFGHIJKLMNOPQRSTUVWXYZabcdefghijklmnopqrstuvwxyzČĆĐŠŽčćđšž -'")))=0,0,1)&gt;0,"Ime sadrži znakove koji nisu slova",IF(COUNTA($G99,$J99,$M99,$P99)&lt;&gt;COUNTA($F99,$I99,$L99,$O99),"Nedostaje pol za nekog od članova",IF(COUNTA($F99,$I99,$L99,$O99)&lt;VLOOKUP($A99,ekipe,2,FALSE),"Ekipa mora imati najmanje "&amp;VLOOKUP($A99,ekipe,2,FALSE)&amp;" člana",IF(COUNTA($F99,$I99,$L99,$O99)&gt;VLOOKUP($A99,ekipe,3,FALSE),"Ekipa može imati najviše "&amp;VLOOKUP($A99,ekipe,3,FALSE)&amp;" člana",IF($B99="","Nedostaje vrsta ekipe","prijava je kompletna")))))))))))</f>
        <v/>
      </c>
      <c r="R99">
        <f>IF($C99="","sve_ekipne","tdisc_"&amp;$C99)</f>
        <v/>
      </c>
    </row>
    <row r="100" spans="1:18">
      <c r="A100" s="5"/>
      <c r="B100" s="5"/>
      <c r="C100" s="7">
        <f>IF($E100="","",LOOKUP($E100,INDEX(grupe,0,1),INDEX(grupe,0,2)))</f>
        <v/>
      </c>
      <c r="D100" s="7">
        <f>IF($C100="","",VLOOKUP($C100,INDEX(grupe,0,2):INDEX(grupe,0,3),2,FALSE))</f>
        <v/>
      </c>
      <c r="E100" s="5"/>
      <c r="F100" s="5"/>
      <c r="G100" s="5"/>
      <c r="H100" s="5"/>
      <c r="I100" s="5"/>
      <c r="J100" s="5"/>
      <c r="K100" s="5"/>
      <c r="L100" s="5"/>
      <c r="M100" s="5"/>
      <c r="N100" s="5"/>
      <c r="O100" s="5"/>
      <c r="P100" s="5"/>
      <c r="Q100" s="8">
        <f>IF(COUNTA($A100:$B100,$E100,$H100,$K100,$N100,$F100,$I100,$L100,$O100)=0,"",IF($A100="","Nedostaje disciplina",IF($E100="","Nedostaje godište prvog člana",IF($C100="","Godište nije obuhvaćeno uzrasnom tabelom",IF(COUNTIF(INDIRECT("tdisc_"&amp;$C100),$A100)=0,"Disciplina nije moguća za uzrast "&amp;$C100,IF(IF($E100="",0,IF(LOOKUP($E100,INDEX(grupe,0,1),INDEX(grupe,0,2))=$C100,0,1))+IF($H100="",0,IF(LOOKUP($H100,INDEX(grupe,0,1),INDEX(grupe,0,2))=$C100,0,1))+IF($K100="",0,IF(LOOKUP($K100,INDEX(grupe,0,1),INDEX(grupe,0,2))=$C100,0,1))+IF($N100="",0,IF(LOOKUP($N100,INDEX(grupe,0,1),INDEX(grupe,0,2))=$C100,0,1))&gt;0,"Članovi ekipe nisu iz iste uzrasne grupe",IF(COUNTA($F100,$I100,$L100,$O100)&lt;&gt;COUNTA($E100,$H100,$K100,$N100),"Za svakog člana potrebni su i godište i ime",IF(IF(SUMPRODUCT(--ISERROR(FIND(MID($F100&amp;REPT("a",60),ROW($A$1:$A$60),1),"ABCDEFGHIJKLMNOPQRSTUVWXYZabcdefghijklmnopqrstuvwxyzČĆĐŠŽčćđšž -'")))=0,0,1)+IF(SUMPRODUCT(--ISERROR(FIND(MID($I100&amp;REPT("a",60),ROW($A$1:$A$60),1),"ABCDEFGHIJKLMNOPQRSTUVWXYZabcdefghijklmnopqrstuvwxyzČĆĐŠŽčćđšž -'")))=0,0,1)+IF(SUMPRODUCT(--ISERROR(FIND(MID($L100&amp;REPT("a",60),ROW($A$1:$A$60),1),"ABCDEFGHIJKLMNOPQRSTUVWXYZabcdefghijklmnopqrstuvwxyzČĆĐŠŽčćđšž -'")))=0,0,1)+IF(SUMPRODUCT(--ISERROR(FIND(MID($O100&amp;REPT("a",60),ROW($A$1:$A$60),1),"ABCDEFGHIJKLMNOPQRSTUVWXYZabcdefghijklmnopqrstuvwxyzČĆĐŠŽčćđšž -'")))=0,0,1)&gt;0,"Ime sadrži znakove koji nisu slova",IF(COUNTA($G100,$J100,$M100,$P100)&lt;&gt;COUNTA($F100,$I100,$L100,$O100),"Nedostaje pol za nekog od članova",IF(COUNTA($F100,$I100,$L100,$O100)&lt;VLOOKUP($A100,ekipe,2,FALSE),"Ekipa mora imati najmanje "&amp;VLOOKUP($A100,ekipe,2,FALSE)&amp;" člana",IF(COUNTA($F100,$I100,$L100,$O100)&gt;VLOOKUP($A100,ekipe,3,FALSE),"Ekipa može imati najviše "&amp;VLOOKUP($A100,ekipe,3,FALSE)&amp;" člana",IF($B100="","Nedostaje vrsta ekipe","prijava je kompletna")))))))))))</f>
        <v/>
      </c>
      <c r="R100">
        <f>IF($C100="","sve_ekipne","tdisc_"&amp;$C100)</f>
        <v/>
      </c>
    </row>
    <row r="101" spans="1:18">
      <c r="A101" s="5"/>
      <c r="B101" s="5"/>
      <c r="C101" s="7">
        <f>IF($E101="","",LOOKUP($E101,INDEX(grupe,0,1),INDEX(grupe,0,2)))</f>
        <v/>
      </c>
      <c r="D101" s="7">
        <f>IF($C101="","",VLOOKUP($C101,INDEX(grupe,0,2):INDEX(grupe,0,3),2,FALSE))</f>
        <v/>
      </c>
      <c r="E101" s="5"/>
      <c r="F101" s="5"/>
      <c r="G101" s="5"/>
      <c r="H101" s="5"/>
      <c r="I101" s="5"/>
      <c r="J101" s="5"/>
      <c r="K101" s="5"/>
      <c r="L101" s="5"/>
      <c r="M101" s="5"/>
      <c r="N101" s="5"/>
      <c r="O101" s="5"/>
      <c r="P101" s="5"/>
      <c r="Q101" s="8">
        <f>IF(COUNTA($A101:$B101,$E101,$H101,$K101,$N101,$F101,$I101,$L101,$O101)=0,"",IF($A101="","Nedostaje disciplina",IF($E101="","Nedostaje godište prvog člana",IF($C101="","Godište nije obuhvaćeno uzrasnom tabelom",IF(COUNTIF(INDIRECT("tdisc_"&amp;$C101),$A101)=0,"Disciplina nije moguća za uzrast "&amp;$C101,IF(IF($E101="",0,IF(LOOKUP($E101,INDEX(grupe,0,1),INDEX(grupe,0,2))=$C101,0,1))+IF($H101="",0,IF(LOOKUP($H101,INDEX(grupe,0,1),INDEX(grupe,0,2))=$C101,0,1))+IF($K101="",0,IF(LOOKUP($K101,INDEX(grupe,0,1),INDEX(grupe,0,2))=$C101,0,1))+IF($N101="",0,IF(LOOKUP($N101,INDEX(grupe,0,1),INDEX(grupe,0,2))=$C101,0,1))&gt;0,"Članovi ekipe nisu iz iste uzrasne grupe",IF(COUNTA($F101,$I101,$L101,$O101)&lt;&gt;COUNTA($E101,$H101,$K101,$N101),"Za svakog člana potrebni su i godište i ime",IF(IF(SUMPRODUCT(--ISERROR(FIND(MID($F101&amp;REPT("a",60),ROW($A$1:$A$60),1),"ABCDEFGHIJKLMNOPQRSTUVWXYZabcdefghijklmnopqrstuvwxyzČĆĐŠŽčćđšž -'")))=0,0,1)+IF(SUMPRODUCT(--ISERROR(FIND(MID($I101&amp;REPT("a",60),ROW($A$1:$A$60),1),"ABCDEFGHIJKLMNOPQRSTUVWXYZabcdefghijklmnopqrstuvwxyzČĆĐŠŽčćđšž -'")))=0,0,1)+IF(SUMPRODUCT(--ISERROR(FIND(MID($L101&amp;REPT("a",60),ROW($A$1:$A$60),1),"ABCDEFGHIJKLMNOPQRSTUVWXYZabcdefghijklmnopqrstuvwxyzČĆĐŠŽčćđšž -'")))=0,0,1)+IF(SUMPRODUCT(--ISERROR(FIND(MID($O101&amp;REPT("a",60),ROW($A$1:$A$60),1),"ABCDEFGHIJKLMNOPQRSTUVWXYZabcdefghijklmnopqrstuvwxyzČĆĐŠŽčćđšž -'")))=0,0,1)&gt;0,"Ime sadrži znakove koji nisu slova",IF(COUNTA($G101,$J101,$M101,$P101)&lt;&gt;COUNTA($F101,$I101,$L101,$O101),"Nedostaje pol za nekog od članova",IF(COUNTA($F101,$I101,$L101,$O101)&lt;VLOOKUP($A101,ekipe,2,FALSE),"Ekipa mora imati najmanje "&amp;VLOOKUP($A101,ekipe,2,FALSE)&amp;" člana",IF(COUNTA($F101,$I101,$L101,$O101)&gt;VLOOKUP($A101,ekipe,3,FALSE),"Ekipa može imati najviše "&amp;VLOOKUP($A101,ekipe,3,FALSE)&amp;" člana",IF($B101="","Nedostaje vrsta ekipe","prijava je kompletna")))))))))))</f>
        <v/>
      </c>
      <c r="R101">
        <f>IF($C101="","sve_ekipne","tdisc_"&amp;$C101)</f>
        <v/>
      </c>
    </row>
    <row r="102" spans="1:18">
      <c r="A102" s="5"/>
      <c r="B102" s="5"/>
      <c r="C102" s="7">
        <f>IF($E102="","",LOOKUP($E102,INDEX(grupe,0,1),INDEX(grupe,0,2)))</f>
        <v/>
      </c>
      <c r="D102" s="7">
        <f>IF($C102="","",VLOOKUP($C102,INDEX(grupe,0,2):INDEX(grupe,0,3),2,FALSE))</f>
        <v/>
      </c>
      <c r="E102" s="5"/>
      <c r="F102" s="5"/>
      <c r="G102" s="5"/>
      <c r="H102" s="5"/>
      <c r="I102" s="5"/>
      <c r="J102" s="5"/>
      <c r="K102" s="5"/>
      <c r="L102" s="5"/>
      <c r="M102" s="5"/>
      <c r="N102" s="5"/>
      <c r="O102" s="5"/>
      <c r="P102" s="5"/>
      <c r="Q102" s="8">
        <f>IF(COUNTA($A102:$B102,$E102,$H102,$K102,$N102,$F102,$I102,$L102,$O102)=0,"",IF($A102="","Nedostaje disciplina",IF($E102="","Nedostaje godište prvog člana",IF($C102="","Godište nije obuhvaćeno uzrasnom tabelom",IF(COUNTIF(INDIRECT("tdisc_"&amp;$C102),$A102)=0,"Disciplina nije moguća za uzrast "&amp;$C102,IF(IF($E102="",0,IF(LOOKUP($E102,INDEX(grupe,0,1),INDEX(grupe,0,2))=$C102,0,1))+IF($H102="",0,IF(LOOKUP($H102,INDEX(grupe,0,1),INDEX(grupe,0,2))=$C102,0,1))+IF($K102="",0,IF(LOOKUP($K102,INDEX(grupe,0,1),INDEX(grupe,0,2))=$C102,0,1))+IF($N102="",0,IF(LOOKUP($N102,INDEX(grupe,0,1),INDEX(grupe,0,2))=$C102,0,1))&gt;0,"Članovi ekipe nisu iz iste uzrasne grupe",IF(COUNTA($F102,$I102,$L102,$O102)&lt;&gt;COUNTA($E102,$H102,$K102,$N102),"Za svakog člana potrebni su i godište i ime",IF(IF(SUMPRODUCT(--ISERROR(FIND(MID($F102&amp;REPT("a",60),ROW($A$1:$A$60),1),"ABCDEFGHIJKLMNOPQRSTUVWXYZabcdefghijklmnopqrstuvwxyzČĆĐŠŽčćđšž -'")))=0,0,1)+IF(SUMPRODUCT(--ISERROR(FIND(MID($I102&amp;REPT("a",60),ROW($A$1:$A$60),1),"ABCDEFGHIJKLMNOPQRSTUVWXYZabcdefghijklmnopqrstuvwxyzČĆĐŠŽčćđšž -'")))=0,0,1)+IF(SUMPRODUCT(--ISERROR(FIND(MID($L102&amp;REPT("a",60),ROW($A$1:$A$60),1),"ABCDEFGHIJKLMNOPQRSTUVWXYZabcdefghijklmnopqrstuvwxyzČĆĐŠŽčćđšž -'")))=0,0,1)+IF(SUMPRODUCT(--ISERROR(FIND(MID($O102&amp;REPT("a",60),ROW($A$1:$A$60),1),"ABCDEFGHIJKLMNOPQRSTUVWXYZabcdefghijklmnopqrstuvwxyzČĆĐŠŽčćđšž -'")))=0,0,1)&gt;0,"Ime sadrži znakove koji nisu slova",IF(COUNTA($G102,$J102,$M102,$P102)&lt;&gt;COUNTA($F102,$I102,$L102,$O102),"Nedostaje pol za nekog od članova",IF(COUNTA($F102,$I102,$L102,$O102)&lt;VLOOKUP($A102,ekipe,2,FALSE),"Ekipa mora imati najmanje "&amp;VLOOKUP($A102,ekipe,2,FALSE)&amp;" člana",IF(COUNTA($F102,$I102,$L102,$O102)&gt;VLOOKUP($A102,ekipe,3,FALSE),"Ekipa može imati najviše "&amp;VLOOKUP($A102,ekipe,3,FALSE)&amp;" člana",IF($B102="","Nedostaje vrsta ekipe","prijava je kompletna")))))))))))</f>
        <v/>
      </c>
      <c r="R102">
        <f>IF($C102="","sve_ekipne","tdisc_"&amp;$C102)</f>
        <v/>
      </c>
    </row>
    <row r="103" spans="1:18">
      <c r="A103" s="5"/>
      <c r="B103" s="5"/>
      <c r="C103" s="7">
        <f>IF($E103="","",LOOKUP($E103,INDEX(grupe,0,1),INDEX(grupe,0,2)))</f>
        <v/>
      </c>
      <c r="D103" s="7">
        <f>IF($C103="","",VLOOKUP($C103,INDEX(grupe,0,2):INDEX(grupe,0,3),2,FALSE))</f>
        <v/>
      </c>
      <c r="E103" s="5"/>
      <c r="F103" s="5"/>
      <c r="G103" s="5"/>
      <c r="H103" s="5"/>
      <c r="I103" s="5"/>
      <c r="J103" s="5"/>
      <c r="K103" s="5"/>
      <c r="L103" s="5"/>
      <c r="M103" s="5"/>
      <c r="N103" s="5"/>
      <c r="O103" s="5"/>
      <c r="P103" s="5"/>
      <c r="Q103" s="8">
        <f>IF(COUNTA($A103:$B103,$E103,$H103,$K103,$N103,$F103,$I103,$L103,$O103)=0,"",IF($A103="","Nedostaje disciplina",IF($E103="","Nedostaje godište prvog člana",IF($C103="","Godište nije obuhvaćeno uzrasnom tabelom",IF(COUNTIF(INDIRECT("tdisc_"&amp;$C103),$A103)=0,"Disciplina nije moguća za uzrast "&amp;$C103,IF(IF($E103="",0,IF(LOOKUP($E103,INDEX(grupe,0,1),INDEX(grupe,0,2))=$C103,0,1))+IF($H103="",0,IF(LOOKUP($H103,INDEX(grupe,0,1),INDEX(grupe,0,2))=$C103,0,1))+IF($K103="",0,IF(LOOKUP($K103,INDEX(grupe,0,1),INDEX(grupe,0,2))=$C103,0,1))+IF($N103="",0,IF(LOOKUP($N103,INDEX(grupe,0,1),INDEX(grupe,0,2))=$C103,0,1))&gt;0,"Članovi ekipe nisu iz iste uzrasne grupe",IF(COUNTA($F103,$I103,$L103,$O103)&lt;&gt;COUNTA($E103,$H103,$K103,$N103),"Za svakog člana potrebni su i godište i ime",IF(IF(SUMPRODUCT(--ISERROR(FIND(MID($F103&amp;REPT("a",60),ROW($A$1:$A$60),1),"ABCDEFGHIJKLMNOPQRSTUVWXYZabcdefghijklmnopqrstuvwxyzČĆĐŠŽčćđšž -'")))=0,0,1)+IF(SUMPRODUCT(--ISERROR(FIND(MID($I103&amp;REPT("a",60),ROW($A$1:$A$60),1),"ABCDEFGHIJKLMNOPQRSTUVWXYZabcdefghijklmnopqrstuvwxyzČĆĐŠŽčćđšž -'")))=0,0,1)+IF(SUMPRODUCT(--ISERROR(FIND(MID($L103&amp;REPT("a",60),ROW($A$1:$A$60),1),"ABCDEFGHIJKLMNOPQRSTUVWXYZabcdefghijklmnopqrstuvwxyzČĆĐŠŽčćđšž -'")))=0,0,1)+IF(SUMPRODUCT(--ISERROR(FIND(MID($O103&amp;REPT("a",60),ROW($A$1:$A$60),1),"ABCDEFGHIJKLMNOPQRSTUVWXYZabcdefghijklmnopqrstuvwxyzČĆĐŠŽčćđšž -'")))=0,0,1)&gt;0,"Ime sadrži znakove koji nisu slova",IF(COUNTA($G103,$J103,$M103,$P103)&lt;&gt;COUNTA($F103,$I103,$L103,$O103),"Nedostaje pol za nekog od članova",IF(COUNTA($F103,$I103,$L103,$O103)&lt;VLOOKUP($A103,ekipe,2,FALSE),"Ekipa mora imati najmanje "&amp;VLOOKUP($A103,ekipe,2,FALSE)&amp;" člana",IF(COUNTA($F103,$I103,$L103,$O103)&gt;VLOOKUP($A103,ekipe,3,FALSE),"Ekipa može imati najviše "&amp;VLOOKUP($A103,ekipe,3,FALSE)&amp;" člana",IF($B103="","Nedostaje vrsta ekipe","prijava je kompletna")))))))))))</f>
        <v/>
      </c>
      <c r="R103">
        <f>IF($C103="","sve_ekipne","tdisc_"&amp;$C103)</f>
        <v/>
      </c>
    </row>
    <row r="104" spans="1:18">
      <c r="A104" s="5"/>
      <c r="B104" s="5"/>
      <c r="C104" s="7">
        <f>IF($E104="","",LOOKUP($E104,INDEX(grupe,0,1),INDEX(grupe,0,2)))</f>
        <v/>
      </c>
      <c r="D104" s="7">
        <f>IF($C104="","",VLOOKUP($C104,INDEX(grupe,0,2):INDEX(grupe,0,3),2,FALSE))</f>
        <v/>
      </c>
      <c r="E104" s="5"/>
      <c r="F104" s="5"/>
      <c r="G104" s="5"/>
      <c r="H104" s="5"/>
      <c r="I104" s="5"/>
      <c r="J104" s="5"/>
      <c r="K104" s="5"/>
      <c r="L104" s="5"/>
      <c r="M104" s="5"/>
      <c r="N104" s="5"/>
      <c r="O104" s="5"/>
      <c r="P104" s="5"/>
      <c r="Q104" s="8">
        <f>IF(COUNTA($A104:$B104,$E104,$H104,$K104,$N104,$F104,$I104,$L104,$O104)=0,"",IF($A104="","Nedostaje disciplina",IF($E104="","Nedostaje godište prvog člana",IF($C104="","Godište nije obuhvaćeno uzrasnom tabelom",IF(COUNTIF(INDIRECT("tdisc_"&amp;$C104),$A104)=0,"Disciplina nije moguća za uzrast "&amp;$C104,IF(IF($E104="",0,IF(LOOKUP($E104,INDEX(grupe,0,1),INDEX(grupe,0,2))=$C104,0,1))+IF($H104="",0,IF(LOOKUP($H104,INDEX(grupe,0,1),INDEX(grupe,0,2))=$C104,0,1))+IF($K104="",0,IF(LOOKUP($K104,INDEX(grupe,0,1),INDEX(grupe,0,2))=$C104,0,1))+IF($N104="",0,IF(LOOKUP($N104,INDEX(grupe,0,1),INDEX(grupe,0,2))=$C104,0,1))&gt;0,"Članovi ekipe nisu iz iste uzrasne grupe",IF(COUNTA($F104,$I104,$L104,$O104)&lt;&gt;COUNTA($E104,$H104,$K104,$N104),"Za svakog člana potrebni su i godište i ime",IF(IF(SUMPRODUCT(--ISERROR(FIND(MID($F104&amp;REPT("a",60),ROW($A$1:$A$60),1),"ABCDEFGHIJKLMNOPQRSTUVWXYZabcdefghijklmnopqrstuvwxyzČĆĐŠŽčćđšž -'")))=0,0,1)+IF(SUMPRODUCT(--ISERROR(FIND(MID($I104&amp;REPT("a",60),ROW($A$1:$A$60),1),"ABCDEFGHIJKLMNOPQRSTUVWXYZabcdefghijklmnopqrstuvwxyzČĆĐŠŽčćđšž -'")))=0,0,1)+IF(SUMPRODUCT(--ISERROR(FIND(MID($L104&amp;REPT("a",60),ROW($A$1:$A$60),1),"ABCDEFGHIJKLMNOPQRSTUVWXYZabcdefghijklmnopqrstuvwxyzČĆĐŠŽčćđšž -'")))=0,0,1)+IF(SUMPRODUCT(--ISERROR(FIND(MID($O104&amp;REPT("a",60),ROW($A$1:$A$60),1),"ABCDEFGHIJKLMNOPQRSTUVWXYZabcdefghijklmnopqrstuvwxyzČĆĐŠŽčćđšž -'")))=0,0,1)&gt;0,"Ime sadrži znakove koji nisu slova",IF(COUNTA($G104,$J104,$M104,$P104)&lt;&gt;COUNTA($F104,$I104,$L104,$O104),"Nedostaje pol za nekog od članova",IF(COUNTA($F104,$I104,$L104,$O104)&lt;VLOOKUP($A104,ekipe,2,FALSE),"Ekipa mora imati najmanje "&amp;VLOOKUP($A104,ekipe,2,FALSE)&amp;" člana",IF(COUNTA($F104,$I104,$L104,$O104)&gt;VLOOKUP($A104,ekipe,3,FALSE),"Ekipa može imati najviše "&amp;VLOOKUP($A104,ekipe,3,FALSE)&amp;" člana",IF($B104="","Nedostaje vrsta ekipe","prijava je kompletna")))))))))))</f>
        <v/>
      </c>
      <c r="R104">
        <f>IF($C104="","sve_ekipne","tdisc_"&amp;$C104)</f>
        <v/>
      </c>
    </row>
    <row r="105" spans="1:18">
      <c r="A105" s="5"/>
      <c r="B105" s="5"/>
      <c r="C105" s="7">
        <f>IF($E105="","",LOOKUP($E105,INDEX(grupe,0,1),INDEX(grupe,0,2)))</f>
        <v/>
      </c>
      <c r="D105" s="7">
        <f>IF($C105="","",VLOOKUP($C105,INDEX(grupe,0,2):INDEX(grupe,0,3),2,FALSE))</f>
        <v/>
      </c>
      <c r="E105" s="5"/>
      <c r="F105" s="5"/>
      <c r="G105" s="5"/>
      <c r="H105" s="5"/>
      <c r="I105" s="5"/>
      <c r="J105" s="5"/>
      <c r="K105" s="5"/>
      <c r="L105" s="5"/>
      <c r="M105" s="5"/>
      <c r="N105" s="5"/>
      <c r="O105" s="5"/>
      <c r="P105" s="5"/>
      <c r="Q105" s="8">
        <f>IF(COUNTA($A105:$B105,$E105,$H105,$K105,$N105,$F105,$I105,$L105,$O105)=0,"",IF($A105="","Nedostaje disciplina",IF($E105="","Nedostaje godište prvog člana",IF($C105="","Godište nije obuhvaćeno uzrasnom tabelom",IF(COUNTIF(INDIRECT("tdisc_"&amp;$C105),$A105)=0,"Disciplina nije moguća za uzrast "&amp;$C105,IF(IF($E105="",0,IF(LOOKUP($E105,INDEX(grupe,0,1),INDEX(grupe,0,2))=$C105,0,1))+IF($H105="",0,IF(LOOKUP($H105,INDEX(grupe,0,1),INDEX(grupe,0,2))=$C105,0,1))+IF($K105="",0,IF(LOOKUP($K105,INDEX(grupe,0,1),INDEX(grupe,0,2))=$C105,0,1))+IF($N105="",0,IF(LOOKUP($N105,INDEX(grupe,0,1),INDEX(grupe,0,2))=$C105,0,1))&gt;0,"Članovi ekipe nisu iz iste uzrasne grupe",IF(COUNTA($F105,$I105,$L105,$O105)&lt;&gt;COUNTA($E105,$H105,$K105,$N105),"Za svakog člana potrebni su i godište i ime",IF(IF(SUMPRODUCT(--ISERROR(FIND(MID($F105&amp;REPT("a",60),ROW($A$1:$A$60),1),"ABCDEFGHIJKLMNOPQRSTUVWXYZabcdefghijklmnopqrstuvwxyzČĆĐŠŽčćđšž -'")))=0,0,1)+IF(SUMPRODUCT(--ISERROR(FIND(MID($I105&amp;REPT("a",60),ROW($A$1:$A$60),1),"ABCDEFGHIJKLMNOPQRSTUVWXYZabcdefghijklmnopqrstuvwxyzČĆĐŠŽčćđšž -'")))=0,0,1)+IF(SUMPRODUCT(--ISERROR(FIND(MID($L105&amp;REPT("a",60),ROW($A$1:$A$60),1),"ABCDEFGHIJKLMNOPQRSTUVWXYZabcdefghijklmnopqrstuvwxyzČĆĐŠŽčćđšž -'")))=0,0,1)+IF(SUMPRODUCT(--ISERROR(FIND(MID($O105&amp;REPT("a",60),ROW($A$1:$A$60),1),"ABCDEFGHIJKLMNOPQRSTUVWXYZabcdefghijklmnopqrstuvwxyzČĆĐŠŽčćđšž -'")))=0,0,1)&gt;0,"Ime sadrži znakove koji nisu slova",IF(COUNTA($G105,$J105,$M105,$P105)&lt;&gt;COUNTA($F105,$I105,$L105,$O105),"Nedostaje pol za nekog od članova",IF(COUNTA($F105,$I105,$L105,$O105)&lt;VLOOKUP($A105,ekipe,2,FALSE),"Ekipa mora imati najmanje "&amp;VLOOKUP($A105,ekipe,2,FALSE)&amp;" člana",IF(COUNTA($F105,$I105,$L105,$O105)&gt;VLOOKUP($A105,ekipe,3,FALSE),"Ekipa može imati najviše "&amp;VLOOKUP($A105,ekipe,3,FALSE)&amp;" člana",IF($B105="","Nedostaje vrsta ekipe","prijava je kompletna")))))))))))</f>
        <v/>
      </c>
      <c r="R105">
        <f>IF($C105="","sve_ekipne","tdisc_"&amp;$C105)</f>
        <v/>
      </c>
    </row>
    <row r="106" spans="1:18">
      <c r="A106" s="5"/>
      <c r="B106" s="5"/>
      <c r="C106" s="7">
        <f>IF($E106="","",LOOKUP($E106,INDEX(grupe,0,1),INDEX(grupe,0,2)))</f>
        <v/>
      </c>
      <c r="D106" s="7">
        <f>IF($C106="","",VLOOKUP($C106,INDEX(grupe,0,2):INDEX(grupe,0,3),2,FALSE))</f>
        <v/>
      </c>
      <c r="E106" s="5"/>
      <c r="F106" s="5"/>
      <c r="G106" s="5"/>
      <c r="H106" s="5"/>
      <c r="I106" s="5"/>
      <c r="J106" s="5"/>
      <c r="K106" s="5"/>
      <c r="L106" s="5"/>
      <c r="M106" s="5"/>
      <c r="N106" s="5"/>
      <c r="O106" s="5"/>
      <c r="P106" s="5"/>
      <c r="Q106" s="8">
        <f>IF(COUNTA($A106:$B106,$E106,$H106,$K106,$N106,$F106,$I106,$L106,$O106)=0,"",IF($A106="","Nedostaje disciplina",IF($E106="","Nedostaje godište prvog člana",IF($C106="","Godište nije obuhvaćeno uzrasnom tabelom",IF(COUNTIF(INDIRECT("tdisc_"&amp;$C106),$A106)=0,"Disciplina nije moguća za uzrast "&amp;$C106,IF(IF($E106="",0,IF(LOOKUP($E106,INDEX(grupe,0,1),INDEX(grupe,0,2))=$C106,0,1))+IF($H106="",0,IF(LOOKUP($H106,INDEX(grupe,0,1),INDEX(grupe,0,2))=$C106,0,1))+IF($K106="",0,IF(LOOKUP($K106,INDEX(grupe,0,1),INDEX(grupe,0,2))=$C106,0,1))+IF($N106="",0,IF(LOOKUP($N106,INDEX(grupe,0,1),INDEX(grupe,0,2))=$C106,0,1))&gt;0,"Članovi ekipe nisu iz iste uzrasne grupe",IF(COUNTA($F106,$I106,$L106,$O106)&lt;&gt;COUNTA($E106,$H106,$K106,$N106),"Za svakog člana potrebni su i godište i ime",IF(IF(SUMPRODUCT(--ISERROR(FIND(MID($F106&amp;REPT("a",60),ROW($A$1:$A$60),1),"ABCDEFGHIJKLMNOPQRSTUVWXYZabcdefghijklmnopqrstuvwxyzČĆĐŠŽčćđšž -'")))=0,0,1)+IF(SUMPRODUCT(--ISERROR(FIND(MID($I106&amp;REPT("a",60),ROW($A$1:$A$60),1),"ABCDEFGHIJKLMNOPQRSTUVWXYZabcdefghijklmnopqrstuvwxyzČĆĐŠŽčćđšž -'")))=0,0,1)+IF(SUMPRODUCT(--ISERROR(FIND(MID($L106&amp;REPT("a",60),ROW($A$1:$A$60),1),"ABCDEFGHIJKLMNOPQRSTUVWXYZabcdefghijklmnopqrstuvwxyzČĆĐŠŽčćđšž -'")))=0,0,1)+IF(SUMPRODUCT(--ISERROR(FIND(MID($O106&amp;REPT("a",60),ROW($A$1:$A$60),1),"ABCDEFGHIJKLMNOPQRSTUVWXYZabcdefghijklmnopqrstuvwxyzČĆĐŠŽčćđšž -'")))=0,0,1)&gt;0,"Ime sadrži znakove koji nisu slova",IF(COUNTA($G106,$J106,$M106,$P106)&lt;&gt;COUNTA($F106,$I106,$L106,$O106),"Nedostaje pol za nekog od članova",IF(COUNTA($F106,$I106,$L106,$O106)&lt;VLOOKUP($A106,ekipe,2,FALSE),"Ekipa mora imati najmanje "&amp;VLOOKUP($A106,ekipe,2,FALSE)&amp;" člana",IF(COUNTA($F106,$I106,$L106,$O106)&gt;VLOOKUP($A106,ekipe,3,FALSE),"Ekipa može imati najviše "&amp;VLOOKUP($A106,ekipe,3,FALSE)&amp;" člana",IF($B106="","Nedostaje vrsta ekipe","prijava je kompletna")))))))))))</f>
        <v/>
      </c>
      <c r="R106">
        <f>IF($C106="","sve_ekipne","tdisc_"&amp;$C106)</f>
        <v/>
      </c>
    </row>
    <row r="107" spans="1:18">
      <c r="A107" s="5"/>
      <c r="B107" s="5"/>
      <c r="C107" s="7">
        <f>IF($E107="","",LOOKUP($E107,INDEX(grupe,0,1),INDEX(grupe,0,2)))</f>
        <v/>
      </c>
      <c r="D107" s="7">
        <f>IF($C107="","",VLOOKUP($C107,INDEX(grupe,0,2):INDEX(grupe,0,3),2,FALSE))</f>
        <v/>
      </c>
      <c r="E107" s="5"/>
      <c r="F107" s="5"/>
      <c r="G107" s="5"/>
      <c r="H107" s="5"/>
      <c r="I107" s="5"/>
      <c r="J107" s="5"/>
      <c r="K107" s="5"/>
      <c r="L107" s="5"/>
      <c r="M107" s="5"/>
      <c r="N107" s="5"/>
      <c r="O107" s="5"/>
      <c r="P107" s="5"/>
      <c r="Q107" s="8">
        <f>IF(COUNTA($A107:$B107,$E107,$H107,$K107,$N107,$F107,$I107,$L107,$O107)=0,"",IF($A107="","Nedostaje disciplina",IF($E107="","Nedostaje godište prvog člana",IF($C107="","Godište nije obuhvaćeno uzrasnom tabelom",IF(COUNTIF(INDIRECT("tdisc_"&amp;$C107),$A107)=0,"Disciplina nije moguća za uzrast "&amp;$C107,IF(IF($E107="",0,IF(LOOKUP($E107,INDEX(grupe,0,1),INDEX(grupe,0,2))=$C107,0,1))+IF($H107="",0,IF(LOOKUP($H107,INDEX(grupe,0,1),INDEX(grupe,0,2))=$C107,0,1))+IF($K107="",0,IF(LOOKUP($K107,INDEX(grupe,0,1),INDEX(grupe,0,2))=$C107,0,1))+IF($N107="",0,IF(LOOKUP($N107,INDEX(grupe,0,1),INDEX(grupe,0,2))=$C107,0,1))&gt;0,"Članovi ekipe nisu iz iste uzrasne grupe",IF(COUNTA($F107,$I107,$L107,$O107)&lt;&gt;COUNTA($E107,$H107,$K107,$N107),"Za svakog člana potrebni su i godište i ime",IF(IF(SUMPRODUCT(--ISERROR(FIND(MID($F107&amp;REPT("a",60),ROW($A$1:$A$60),1),"ABCDEFGHIJKLMNOPQRSTUVWXYZabcdefghijklmnopqrstuvwxyzČĆĐŠŽčćđšž -'")))=0,0,1)+IF(SUMPRODUCT(--ISERROR(FIND(MID($I107&amp;REPT("a",60),ROW($A$1:$A$60),1),"ABCDEFGHIJKLMNOPQRSTUVWXYZabcdefghijklmnopqrstuvwxyzČĆĐŠŽčćđšž -'")))=0,0,1)+IF(SUMPRODUCT(--ISERROR(FIND(MID($L107&amp;REPT("a",60),ROW($A$1:$A$60),1),"ABCDEFGHIJKLMNOPQRSTUVWXYZabcdefghijklmnopqrstuvwxyzČĆĐŠŽčćđšž -'")))=0,0,1)+IF(SUMPRODUCT(--ISERROR(FIND(MID($O107&amp;REPT("a",60),ROW($A$1:$A$60),1),"ABCDEFGHIJKLMNOPQRSTUVWXYZabcdefghijklmnopqrstuvwxyzČĆĐŠŽčćđšž -'")))=0,0,1)&gt;0,"Ime sadrži znakove koji nisu slova",IF(COUNTA($G107,$J107,$M107,$P107)&lt;&gt;COUNTA($F107,$I107,$L107,$O107),"Nedostaje pol za nekog od članova",IF(COUNTA($F107,$I107,$L107,$O107)&lt;VLOOKUP($A107,ekipe,2,FALSE),"Ekipa mora imati najmanje "&amp;VLOOKUP($A107,ekipe,2,FALSE)&amp;" člana",IF(COUNTA($F107,$I107,$L107,$O107)&gt;VLOOKUP($A107,ekipe,3,FALSE),"Ekipa može imati najviše "&amp;VLOOKUP($A107,ekipe,3,FALSE)&amp;" člana",IF($B107="","Nedostaje vrsta ekipe","prijava je kompletna")))))))))))</f>
        <v/>
      </c>
      <c r="R107">
        <f>IF($C107="","sve_ekipne","tdisc_"&amp;$C107)</f>
        <v/>
      </c>
    </row>
    <row r="108" spans="1:18">
      <c r="A108" s="5"/>
      <c r="B108" s="5"/>
      <c r="C108" s="7">
        <f>IF($E108="","",LOOKUP($E108,INDEX(grupe,0,1),INDEX(grupe,0,2)))</f>
        <v/>
      </c>
      <c r="D108" s="7">
        <f>IF($C108="","",VLOOKUP($C108,INDEX(grupe,0,2):INDEX(grupe,0,3),2,FALSE))</f>
        <v/>
      </c>
      <c r="E108" s="5"/>
      <c r="F108" s="5"/>
      <c r="G108" s="5"/>
      <c r="H108" s="5"/>
      <c r="I108" s="5"/>
      <c r="J108" s="5"/>
      <c r="K108" s="5"/>
      <c r="L108" s="5"/>
      <c r="M108" s="5"/>
      <c r="N108" s="5"/>
      <c r="O108" s="5"/>
      <c r="P108" s="5"/>
      <c r="Q108" s="8">
        <f>IF(COUNTA($A108:$B108,$E108,$H108,$K108,$N108,$F108,$I108,$L108,$O108)=0,"",IF($A108="","Nedostaje disciplina",IF($E108="","Nedostaje godište prvog člana",IF($C108="","Godište nije obuhvaćeno uzrasnom tabelom",IF(COUNTIF(INDIRECT("tdisc_"&amp;$C108),$A108)=0,"Disciplina nije moguća za uzrast "&amp;$C108,IF(IF($E108="",0,IF(LOOKUP($E108,INDEX(grupe,0,1),INDEX(grupe,0,2))=$C108,0,1))+IF($H108="",0,IF(LOOKUP($H108,INDEX(grupe,0,1),INDEX(grupe,0,2))=$C108,0,1))+IF($K108="",0,IF(LOOKUP($K108,INDEX(grupe,0,1),INDEX(grupe,0,2))=$C108,0,1))+IF($N108="",0,IF(LOOKUP($N108,INDEX(grupe,0,1),INDEX(grupe,0,2))=$C108,0,1))&gt;0,"Članovi ekipe nisu iz iste uzrasne grupe",IF(COUNTA($F108,$I108,$L108,$O108)&lt;&gt;COUNTA($E108,$H108,$K108,$N108),"Za svakog člana potrebni su i godište i ime",IF(IF(SUMPRODUCT(--ISERROR(FIND(MID($F108&amp;REPT("a",60),ROW($A$1:$A$60),1),"ABCDEFGHIJKLMNOPQRSTUVWXYZabcdefghijklmnopqrstuvwxyzČĆĐŠŽčćđšž -'")))=0,0,1)+IF(SUMPRODUCT(--ISERROR(FIND(MID($I108&amp;REPT("a",60),ROW($A$1:$A$60),1),"ABCDEFGHIJKLMNOPQRSTUVWXYZabcdefghijklmnopqrstuvwxyzČĆĐŠŽčćđšž -'")))=0,0,1)+IF(SUMPRODUCT(--ISERROR(FIND(MID($L108&amp;REPT("a",60),ROW($A$1:$A$60),1),"ABCDEFGHIJKLMNOPQRSTUVWXYZabcdefghijklmnopqrstuvwxyzČĆĐŠŽčćđšž -'")))=0,0,1)+IF(SUMPRODUCT(--ISERROR(FIND(MID($O108&amp;REPT("a",60),ROW($A$1:$A$60),1),"ABCDEFGHIJKLMNOPQRSTUVWXYZabcdefghijklmnopqrstuvwxyzČĆĐŠŽčćđšž -'")))=0,0,1)&gt;0,"Ime sadrži znakove koji nisu slova",IF(COUNTA($G108,$J108,$M108,$P108)&lt;&gt;COUNTA($F108,$I108,$L108,$O108),"Nedostaje pol za nekog od članova",IF(COUNTA($F108,$I108,$L108,$O108)&lt;VLOOKUP($A108,ekipe,2,FALSE),"Ekipa mora imati najmanje "&amp;VLOOKUP($A108,ekipe,2,FALSE)&amp;" člana",IF(COUNTA($F108,$I108,$L108,$O108)&gt;VLOOKUP($A108,ekipe,3,FALSE),"Ekipa može imati najviše "&amp;VLOOKUP($A108,ekipe,3,FALSE)&amp;" člana",IF($B108="","Nedostaje vrsta ekipe","prijava je kompletna")))))))))))</f>
        <v/>
      </c>
      <c r="R108">
        <f>IF($C108="","sve_ekipne","tdisc_"&amp;$C108)</f>
        <v/>
      </c>
    </row>
    <row r="109" spans="1:18">
      <c r="A109" s="5"/>
      <c r="B109" s="5"/>
      <c r="C109" s="7">
        <f>IF($E109="","",LOOKUP($E109,INDEX(grupe,0,1),INDEX(grupe,0,2)))</f>
        <v/>
      </c>
      <c r="D109" s="7">
        <f>IF($C109="","",VLOOKUP($C109,INDEX(grupe,0,2):INDEX(grupe,0,3),2,FALSE))</f>
        <v/>
      </c>
      <c r="E109" s="5"/>
      <c r="F109" s="5"/>
      <c r="G109" s="5"/>
      <c r="H109" s="5"/>
      <c r="I109" s="5"/>
      <c r="J109" s="5"/>
      <c r="K109" s="5"/>
      <c r="L109" s="5"/>
      <c r="M109" s="5"/>
      <c r="N109" s="5"/>
      <c r="O109" s="5"/>
      <c r="P109" s="5"/>
      <c r="Q109" s="8">
        <f>IF(COUNTA($A109:$B109,$E109,$H109,$K109,$N109,$F109,$I109,$L109,$O109)=0,"",IF($A109="","Nedostaje disciplina",IF($E109="","Nedostaje godište prvog člana",IF($C109="","Godište nije obuhvaćeno uzrasnom tabelom",IF(COUNTIF(INDIRECT("tdisc_"&amp;$C109),$A109)=0,"Disciplina nije moguća za uzrast "&amp;$C109,IF(IF($E109="",0,IF(LOOKUP($E109,INDEX(grupe,0,1),INDEX(grupe,0,2))=$C109,0,1))+IF($H109="",0,IF(LOOKUP($H109,INDEX(grupe,0,1),INDEX(grupe,0,2))=$C109,0,1))+IF($K109="",0,IF(LOOKUP($K109,INDEX(grupe,0,1),INDEX(grupe,0,2))=$C109,0,1))+IF($N109="",0,IF(LOOKUP($N109,INDEX(grupe,0,1),INDEX(grupe,0,2))=$C109,0,1))&gt;0,"Članovi ekipe nisu iz iste uzrasne grupe",IF(COUNTA($F109,$I109,$L109,$O109)&lt;&gt;COUNTA($E109,$H109,$K109,$N109),"Za svakog člana potrebni su i godište i ime",IF(IF(SUMPRODUCT(--ISERROR(FIND(MID($F109&amp;REPT("a",60),ROW($A$1:$A$60),1),"ABCDEFGHIJKLMNOPQRSTUVWXYZabcdefghijklmnopqrstuvwxyzČĆĐŠŽčćđšž -'")))=0,0,1)+IF(SUMPRODUCT(--ISERROR(FIND(MID($I109&amp;REPT("a",60),ROW($A$1:$A$60),1),"ABCDEFGHIJKLMNOPQRSTUVWXYZabcdefghijklmnopqrstuvwxyzČĆĐŠŽčćđšž -'")))=0,0,1)+IF(SUMPRODUCT(--ISERROR(FIND(MID($L109&amp;REPT("a",60),ROW($A$1:$A$60),1),"ABCDEFGHIJKLMNOPQRSTUVWXYZabcdefghijklmnopqrstuvwxyzČĆĐŠŽčćđšž -'")))=0,0,1)+IF(SUMPRODUCT(--ISERROR(FIND(MID($O109&amp;REPT("a",60),ROW($A$1:$A$60),1),"ABCDEFGHIJKLMNOPQRSTUVWXYZabcdefghijklmnopqrstuvwxyzČĆĐŠŽčćđšž -'")))=0,0,1)&gt;0,"Ime sadrži znakove koji nisu slova",IF(COUNTA($G109,$J109,$M109,$P109)&lt;&gt;COUNTA($F109,$I109,$L109,$O109),"Nedostaje pol za nekog od članova",IF(COUNTA($F109,$I109,$L109,$O109)&lt;VLOOKUP($A109,ekipe,2,FALSE),"Ekipa mora imati najmanje "&amp;VLOOKUP($A109,ekipe,2,FALSE)&amp;" člana",IF(COUNTA($F109,$I109,$L109,$O109)&gt;VLOOKUP($A109,ekipe,3,FALSE),"Ekipa može imati najviše "&amp;VLOOKUP($A109,ekipe,3,FALSE)&amp;" člana",IF($B109="","Nedostaje vrsta ekipe","prijava je kompletna")))))))))))</f>
        <v/>
      </c>
      <c r="R109">
        <f>IF($C109="","sve_ekipne","tdisc_"&amp;$C109)</f>
        <v/>
      </c>
    </row>
    <row r="110" spans="1:18">
      <c r="A110" s="5"/>
      <c r="B110" s="5"/>
      <c r="C110" s="7">
        <f>IF($E110="","",LOOKUP($E110,INDEX(grupe,0,1),INDEX(grupe,0,2)))</f>
        <v/>
      </c>
      <c r="D110" s="7">
        <f>IF($C110="","",VLOOKUP($C110,INDEX(grupe,0,2):INDEX(grupe,0,3),2,FALSE))</f>
        <v/>
      </c>
      <c r="E110" s="5"/>
      <c r="F110" s="5"/>
      <c r="G110" s="5"/>
      <c r="H110" s="5"/>
      <c r="I110" s="5"/>
      <c r="J110" s="5"/>
      <c r="K110" s="5"/>
      <c r="L110" s="5"/>
      <c r="M110" s="5"/>
      <c r="N110" s="5"/>
      <c r="O110" s="5"/>
      <c r="P110" s="5"/>
      <c r="Q110" s="8">
        <f>IF(COUNTA($A110:$B110,$E110,$H110,$K110,$N110,$F110,$I110,$L110,$O110)=0,"",IF($A110="","Nedostaje disciplina",IF($E110="","Nedostaje godište prvog člana",IF($C110="","Godište nije obuhvaćeno uzrasnom tabelom",IF(COUNTIF(INDIRECT("tdisc_"&amp;$C110),$A110)=0,"Disciplina nije moguća za uzrast "&amp;$C110,IF(IF($E110="",0,IF(LOOKUP($E110,INDEX(grupe,0,1),INDEX(grupe,0,2))=$C110,0,1))+IF($H110="",0,IF(LOOKUP($H110,INDEX(grupe,0,1),INDEX(grupe,0,2))=$C110,0,1))+IF($K110="",0,IF(LOOKUP($K110,INDEX(grupe,0,1),INDEX(grupe,0,2))=$C110,0,1))+IF($N110="",0,IF(LOOKUP($N110,INDEX(grupe,0,1),INDEX(grupe,0,2))=$C110,0,1))&gt;0,"Članovi ekipe nisu iz iste uzrasne grupe",IF(COUNTA($F110,$I110,$L110,$O110)&lt;&gt;COUNTA($E110,$H110,$K110,$N110),"Za svakog člana potrebni su i godište i ime",IF(IF(SUMPRODUCT(--ISERROR(FIND(MID($F110&amp;REPT("a",60),ROW($A$1:$A$60),1),"ABCDEFGHIJKLMNOPQRSTUVWXYZabcdefghijklmnopqrstuvwxyzČĆĐŠŽčćđšž -'")))=0,0,1)+IF(SUMPRODUCT(--ISERROR(FIND(MID($I110&amp;REPT("a",60),ROW($A$1:$A$60),1),"ABCDEFGHIJKLMNOPQRSTUVWXYZabcdefghijklmnopqrstuvwxyzČĆĐŠŽčćđšž -'")))=0,0,1)+IF(SUMPRODUCT(--ISERROR(FIND(MID($L110&amp;REPT("a",60),ROW($A$1:$A$60),1),"ABCDEFGHIJKLMNOPQRSTUVWXYZabcdefghijklmnopqrstuvwxyzČĆĐŠŽčćđšž -'")))=0,0,1)+IF(SUMPRODUCT(--ISERROR(FIND(MID($O110&amp;REPT("a",60),ROW($A$1:$A$60),1),"ABCDEFGHIJKLMNOPQRSTUVWXYZabcdefghijklmnopqrstuvwxyzČĆĐŠŽčćđšž -'")))=0,0,1)&gt;0,"Ime sadrži znakove koji nisu slova",IF(COUNTA($G110,$J110,$M110,$P110)&lt;&gt;COUNTA($F110,$I110,$L110,$O110),"Nedostaje pol za nekog od članova",IF(COUNTA($F110,$I110,$L110,$O110)&lt;VLOOKUP($A110,ekipe,2,FALSE),"Ekipa mora imati najmanje "&amp;VLOOKUP($A110,ekipe,2,FALSE)&amp;" člana",IF(COUNTA($F110,$I110,$L110,$O110)&gt;VLOOKUP($A110,ekipe,3,FALSE),"Ekipa može imati najviše "&amp;VLOOKUP($A110,ekipe,3,FALSE)&amp;" člana",IF($B110="","Nedostaje vrsta ekipe","prijava je kompletna")))))))))))</f>
        <v/>
      </c>
      <c r="R110">
        <f>IF($C110="","sve_ekipne","tdisc_"&amp;$C110)</f>
        <v/>
      </c>
    </row>
    <row r="111" spans="1:18">
      <c r="A111" s="5"/>
      <c r="B111" s="5"/>
      <c r="C111" s="7">
        <f>IF($E111="","",LOOKUP($E111,INDEX(grupe,0,1),INDEX(grupe,0,2)))</f>
        <v/>
      </c>
      <c r="D111" s="7">
        <f>IF($C111="","",VLOOKUP($C111,INDEX(grupe,0,2):INDEX(grupe,0,3),2,FALSE))</f>
        <v/>
      </c>
      <c r="E111" s="5"/>
      <c r="F111" s="5"/>
      <c r="G111" s="5"/>
      <c r="H111" s="5"/>
      <c r="I111" s="5"/>
      <c r="J111" s="5"/>
      <c r="K111" s="5"/>
      <c r="L111" s="5"/>
      <c r="M111" s="5"/>
      <c r="N111" s="5"/>
      <c r="O111" s="5"/>
      <c r="P111" s="5"/>
      <c r="Q111" s="8">
        <f>IF(COUNTA($A111:$B111,$E111,$H111,$K111,$N111,$F111,$I111,$L111,$O111)=0,"",IF($A111="","Nedostaje disciplina",IF($E111="","Nedostaje godište prvog člana",IF($C111="","Godište nije obuhvaćeno uzrasnom tabelom",IF(COUNTIF(INDIRECT("tdisc_"&amp;$C111),$A111)=0,"Disciplina nije moguća za uzrast "&amp;$C111,IF(IF($E111="",0,IF(LOOKUP($E111,INDEX(grupe,0,1),INDEX(grupe,0,2))=$C111,0,1))+IF($H111="",0,IF(LOOKUP($H111,INDEX(grupe,0,1),INDEX(grupe,0,2))=$C111,0,1))+IF($K111="",0,IF(LOOKUP($K111,INDEX(grupe,0,1),INDEX(grupe,0,2))=$C111,0,1))+IF($N111="",0,IF(LOOKUP($N111,INDEX(grupe,0,1),INDEX(grupe,0,2))=$C111,0,1))&gt;0,"Članovi ekipe nisu iz iste uzrasne grupe",IF(COUNTA($F111,$I111,$L111,$O111)&lt;&gt;COUNTA($E111,$H111,$K111,$N111),"Za svakog člana potrebni su i godište i ime",IF(IF(SUMPRODUCT(--ISERROR(FIND(MID($F111&amp;REPT("a",60),ROW($A$1:$A$60),1),"ABCDEFGHIJKLMNOPQRSTUVWXYZabcdefghijklmnopqrstuvwxyzČĆĐŠŽčćđšž -'")))=0,0,1)+IF(SUMPRODUCT(--ISERROR(FIND(MID($I111&amp;REPT("a",60),ROW($A$1:$A$60),1),"ABCDEFGHIJKLMNOPQRSTUVWXYZabcdefghijklmnopqrstuvwxyzČĆĐŠŽčćđšž -'")))=0,0,1)+IF(SUMPRODUCT(--ISERROR(FIND(MID($L111&amp;REPT("a",60),ROW($A$1:$A$60),1),"ABCDEFGHIJKLMNOPQRSTUVWXYZabcdefghijklmnopqrstuvwxyzČĆĐŠŽčćđšž -'")))=0,0,1)+IF(SUMPRODUCT(--ISERROR(FIND(MID($O111&amp;REPT("a",60),ROW($A$1:$A$60),1),"ABCDEFGHIJKLMNOPQRSTUVWXYZabcdefghijklmnopqrstuvwxyzČĆĐŠŽčćđšž -'")))=0,0,1)&gt;0,"Ime sadrži znakove koji nisu slova",IF(COUNTA($G111,$J111,$M111,$P111)&lt;&gt;COUNTA($F111,$I111,$L111,$O111),"Nedostaje pol za nekog od članova",IF(COUNTA($F111,$I111,$L111,$O111)&lt;VLOOKUP($A111,ekipe,2,FALSE),"Ekipa mora imati najmanje "&amp;VLOOKUP($A111,ekipe,2,FALSE)&amp;" člana",IF(COUNTA($F111,$I111,$L111,$O111)&gt;VLOOKUP($A111,ekipe,3,FALSE),"Ekipa može imati najviše "&amp;VLOOKUP($A111,ekipe,3,FALSE)&amp;" člana",IF($B111="","Nedostaje vrsta ekipe","prijava je kompletna")))))))))))</f>
        <v/>
      </c>
      <c r="R111">
        <f>IF($C111="","sve_ekipne","tdisc_"&amp;$C111)</f>
        <v/>
      </c>
    </row>
    <row r="112" spans="1:18">
      <c r="A112" s="5"/>
      <c r="B112" s="5"/>
      <c r="C112" s="7">
        <f>IF($E112="","",LOOKUP($E112,INDEX(grupe,0,1),INDEX(grupe,0,2)))</f>
        <v/>
      </c>
      <c r="D112" s="7">
        <f>IF($C112="","",VLOOKUP($C112,INDEX(grupe,0,2):INDEX(grupe,0,3),2,FALSE))</f>
        <v/>
      </c>
      <c r="E112" s="5"/>
      <c r="F112" s="5"/>
      <c r="G112" s="5"/>
      <c r="H112" s="5"/>
      <c r="I112" s="5"/>
      <c r="J112" s="5"/>
      <c r="K112" s="5"/>
      <c r="L112" s="5"/>
      <c r="M112" s="5"/>
      <c r="N112" s="5"/>
      <c r="O112" s="5"/>
      <c r="P112" s="5"/>
      <c r="Q112" s="8">
        <f>IF(COUNTA($A112:$B112,$E112,$H112,$K112,$N112,$F112,$I112,$L112,$O112)=0,"",IF($A112="","Nedostaje disciplina",IF($E112="","Nedostaje godište prvog člana",IF($C112="","Godište nije obuhvaćeno uzrasnom tabelom",IF(COUNTIF(INDIRECT("tdisc_"&amp;$C112),$A112)=0,"Disciplina nije moguća za uzrast "&amp;$C112,IF(IF($E112="",0,IF(LOOKUP($E112,INDEX(grupe,0,1),INDEX(grupe,0,2))=$C112,0,1))+IF($H112="",0,IF(LOOKUP($H112,INDEX(grupe,0,1),INDEX(grupe,0,2))=$C112,0,1))+IF($K112="",0,IF(LOOKUP($K112,INDEX(grupe,0,1),INDEX(grupe,0,2))=$C112,0,1))+IF($N112="",0,IF(LOOKUP($N112,INDEX(grupe,0,1),INDEX(grupe,0,2))=$C112,0,1))&gt;0,"Članovi ekipe nisu iz iste uzrasne grupe",IF(COUNTA($F112,$I112,$L112,$O112)&lt;&gt;COUNTA($E112,$H112,$K112,$N112),"Za svakog člana potrebni su i godište i ime",IF(IF(SUMPRODUCT(--ISERROR(FIND(MID($F112&amp;REPT("a",60),ROW($A$1:$A$60),1),"ABCDEFGHIJKLMNOPQRSTUVWXYZabcdefghijklmnopqrstuvwxyzČĆĐŠŽčćđšž -'")))=0,0,1)+IF(SUMPRODUCT(--ISERROR(FIND(MID($I112&amp;REPT("a",60),ROW($A$1:$A$60),1),"ABCDEFGHIJKLMNOPQRSTUVWXYZabcdefghijklmnopqrstuvwxyzČĆĐŠŽčćđšž -'")))=0,0,1)+IF(SUMPRODUCT(--ISERROR(FIND(MID($L112&amp;REPT("a",60),ROW($A$1:$A$60),1),"ABCDEFGHIJKLMNOPQRSTUVWXYZabcdefghijklmnopqrstuvwxyzČĆĐŠŽčćđšž -'")))=0,0,1)+IF(SUMPRODUCT(--ISERROR(FIND(MID($O112&amp;REPT("a",60),ROW($A$1:$A$60),1),"ABCDEFGHIJKLMNOPQRSTUVWXYZabcdefghijklmnopqrstuvwxyzČĆĐŠŽčćđšž -'")))=0,0,1)&gt;0,"Ime sadrži znakove koji nisu slova",IF(COUNTA($G112,$J112,$M112,$P112)&lt;&gt;COUNTA($F112,$I112,$L112,$O112),"Nedostaje pol za nekog od članova",IF(COUNTA($F112,$I112,$L112,$O112)&lt;VLOOKUP($A112,ekipe,2,FALSE),"Ekipa mora imati najmanje "&amp;VLOOKUP($A112,ekipe,2,FALSE)&amp;" člana",IF(COUNTA($F112,$I112,$L112,$O112)&gt;VLOOKUP($A112,ekipe,3,FALSE),"Ekipa može imati najviše "&amp;VLOOKUP($A112,ekipe,3,FALSE)&amp;" člana",IF($B112="","Nedostaje vrsta ekipe","prijava je kompletna")))))))))))</f>
        <v/>
      </c>
      <c r="R112">
        <f>IF($C112="","sve_ekipne","tdisc_"&amp;$C112)</f>
        <v/>
      </c>
    </row>
    <row r="113" spans="1:18">
      <c r="A113" s="5"/>
      <c r="B113" s="5"/>
      <c r="C113" s="7">
        <f>IF($E113="","",LOOKUP($E113,INDEX(grupe,0,1),INDEX(grupe,0,2)))</f>
        <v/>
      </c>
      <c r="D113" s="7">
        <f>IF($C113="","",VLOOKUP($C113,INDEX(grupe,0,2):INDEX(grupe,0,3),2,FALSE))</f>
        <v/>
      </c>
      <c r="E113" s="5"/>
      <c r="F113" s="5"/>
      <c r="G113" s="5"/>
      <c r="H113" s="5"/>
      <c r="I113" s="5"/>
      <c r="J113" s="5"/>
      <c r="K113" s="5"/>
      <c r="L113" s="5"/>
      <c r="M113" s="5"/>
      <c r="N113" s="5"/>
      <c r="O113" s="5"/>
      <c r="P113" s="5"/>
      <c r="Q113" s="8">
        <f>IF(COUNTA($A113:$B113,$E113,$H113,$K113,$N113,$F113,$I113,$L113,$O113)=0,"",IF($A113="","Nedostaje disciplina",IF($E113="","Nedostaje godište prvog člana",IF($C113="","Godište nije obuhvaćeno uzrasnom tabelom",IF(COUNTIF(INDIRECT("tdisc_"&amp;$C113),$A113)=0,"Disciplina nije moguća za uzrast "&amp;$C113,IF(IF($E113="",0,IF(LOOKUP($E113,INDEX(grupe,0,1),INDEX(grupe,0,2))=$C113,0,1))+IF($H113="",0,IF(LOOKUP($H113,INDEX(grupe,0,1),INDEX(grupe,0,2))=$C113,0,1))+IF($K113="",0,IF(LOOKUP($K113,INDEX(grupe,0,1),INDEX(grupe,0,2))=$C113,0,1))+IF($N113="",0,IF(LOOKUP($N113,INDEX(grupe,0,1),INDEX(grupe,0,2))=$C113,0,1))&gt;0,"Članovi ekipe nisu iz iste uzrasne grupe",IF(COUNTA($F113,$I113,$L113,$O113)&lt;&gt;COUNTA($E113,$H113,$K113,$N113),"Za svakog člana potrebni su i godište i ime",IF(IF(SUMPRODUCT(--ISERROR(FIND(MID($F113&amp;REPT("a",60),ROW($A$1:$A$60),1),"ABCDEFGHIJKLMNOPQRSTUVWXYZabcdefghijklmnopqrstuvwxyzČĆĐŠŽčćđšž -'")))=0,0,1)+IF(SUMPRODUCT(--ISERROR(FIND(MID($I113&amp;REPT("a",60),ROW($A$1:$A$60),1),"ABCDEFGHIJKLMNOPQRSTUVWXYZabcdefghijklmnopqrstuvwxyzČĆĐŠŽčćđšž -'")))=0,0,1)+IF(SUMPRODUCT(--ISERROR(FIND(MID($L113&amp;REPT("a",60),ROW($A$1:$A$60),1),"ABCDEFGHIJKLMNOPQRSTUVWXYZabcdefghijklmnopqrstuvwxyzČĆĐŠŽčćđšž -'")))=0,0,1)+IF(SUMPRODUCT(--ISERROR(FIND(MID($O113&amp;REPT("a",60),ROW($A$1:$A$60),1),"ABCDEFGHIJKLMNOPQRSTUVWXYZabcdefghijklmnopqrstuvwxyzČĆĐŠŽčćđšž -'")))=0,0,1)&gt;0,"Ime sadrži znakove koji nisu slova",IF(COUNTA($G113,$J113,$M113,$P113)&lt;&gt;COUNTA($F113,$I113,$L113,$O113),"Nedostaje pol za nekog od članova",IF(COUNTA($F113,$I113,$L113,$O113)&lt;VLOOKUP($A113,ekipe,2,FALSE),"Ekipa mora imati najmanje "&amp;VLOOKUP($A113,ekipe,2,FALSE)&amp;" člana",IF(COUNTA($F113,$I113,$L113,$O113)&gt;VLOOKUP($A113,ekipe,3,FALSE),"Ekipa može imati najviše "&amp;VLOOKUP($A113,ekipe,3,FALSE)&amp;" člana",IF($B113="","Nedostaje vrsta ekipe","prijava je kompletna")))))))))))</f>
        <v/>
      </c>
      <c r="R113">
        <f>IF($C113="","sve_ekipne","tdisc_"&amp;$C113)</f>
        <v/>
      </c>
    </row>
    <row r="114" spans="1:18">
      <c r="A114" s="5"/>
      <c r="B114" s="5"/>
      <c r="C114" s="7">
        <f>IF($E114="","",LOOKUP($E114,INDEX(grupe,0,1),INDEX(grupe,0,2)))</f>
        <v/>
      </c>
      <c r="D114" s="7">
        <f>IF($C114="","",VLOOKUP($C114,INDEX(grupe,0,2):INDEX(grupe,0,3),2,FALSE))</f>
        <v/>
      </c>
      <c r="E114" s="5"/>
      <c r="F114" s="5"/>
      <c r="G114" s="5"/>
      <c r="H114" s="5"/>
      <c r="I114" s="5"/>
      <c r="J114" s="5"/>
      <c r="K114" s="5"/>
      <c r="L114" s="5"/>
      <c r="M114" s="5"/>
      <c r="N114" s="5"/>
      <c r="O114" s="5"/>
      <c r="P114" s="5"/>
      <c r="Q114" s="8">
        <f>IF(COUNTA($A114:$B114,$E114,$H114,$K114,$N114,$F114,$I114,$L114,$O114)=0,"",IF($A114="","Nedostaje disciplina",IF($E114="","Nedostaje godište prvog člana",IF($C114="","Godište nije obuhvaćeno uzrasnom tabelom",IF(COUNTIF(INDIRECT("tdisc_"&amp;$C114),$A114)=0,"Disciplina nije moguća za uzrast "&amp;$C114,IF(IF($E114="",0,IF(LOOKUP($E114,INDEX(grupe,0,1),INDEX(grupe,0,2))=$C114,0,1))+IF($H114="",0,IF(LOOKUP($H114,INDEX(grupe,0,1),INDEX(grupe,0,2))=$C114,0,1))+IF($K114="",0,IF(LOOKUP($K114,INDEX(grupe,0,1),INDEX(grupe,0,2))=$C114,0,1))+IF($N114="",0,IF(LOOKUP($N114,INDEX(grupe,0,1),INDEX(grupe,0,2))=$C114,0,1))&gt;0,"Članovi ekipe nisu iz iste uzrasne grupe",IF(COUNTA($F114,$I114,$L114,$O114)&lt;&gt;COUNTA($E114,$H114,$K114,$N114),"Za svakog člana potrebni su i godište i ime",IF(IF(SUMPRODUCT(--ISERROR(FIND(MID($F114&amp;REPT("a",60),ROW($A$1:$A$60),1),"ABCDEFGHIJKLMNOPQRSTUVWXYZabcdefghijklmnopqrstuvwxyzČĆĐŠŽčćđšž -'")))=0,0,1)+IF(SUMPRODUCT(--ISERROR(FIND(MID($I114&amp;REPT("a",60),ROW($A$1:$A$60),1),"ABCDEFGHIJKLMNOPQRSTUVWXYZabcdefghijklmnopqrstuvwxyzČĆĐŠŽčćđšž -'")))=0,0,1)+IF(SUMPRODUCT(--ISERROR(FIND(MID($L114&amp;REPT("a",60),ROW($A$1:$A$60),1),"ABCDEFGHIJKLMNOPQRSTUVWXYZabcdefghijklmnopqrstuvwxyzČĆĐŠŽčćđšž -'")))=0,0,1)+IF(SUMPRODUCT(--ISERROR(FIND(MID($O114&amp;REPT("a",60),ROW($A$1:$A$60),1),"ABCDEFGHIJKLMNOPQRSTUVWXYZabcdefghijklmnopqrstuvwxyzČĆĐŠŽčćđšž -'")))=0,0,1)&gt;0,"Ime sadrži znakove koji nisu slova",IF(COUNTA($G114,$J114,$M114,$P114)&lt;&gt;COUNTA($F114,$I114,$L114,$O114),"Nedostaje pol za nekog od članova",IF(COUNTA($F114,$I114,$L114,$O114)&lt;VLOOKUP($A114,ekipe,2,FALSE),"Ekipa mora imati najmanje "&amp;VLOOKUP($A114,ekipe,2,FALSE)&amp;" člana",IF(COUNTA($F114,$I114,$L114,$O114)&gt;VLOOKUP($A114,ekipe,3,FALSE),"Ekipa može imati najviše "&amp;VLOOKUP($A114,ekipe,3,FALSE)&amp;" člana",IF($B114="","Nedostaje vrsta ekipe","prijava je kompletna")))))))))))</f>
        <v/>
      </c>
      <c r="R114">
        <f>IF($C114="","sve_ekipne","tdisc_"&amp;$C114)</f>
        <v/>
      </c>
    </row>
    <row r="115" spans="1:18">
      <c r="A115" s="5"/>
      <c r="B115" s="5"/>
      <c r="C115" s="7">
        <f>IF($E115="","",LOOKUP($E115,INDEX(grupe,0,1),INDEX(grupe,0,2)))</f>
        <v/>
      </c>
      <c r="D115" s="7">
        <f>IF($C115="","",VLOOKUP($C115,INDEX(grupe,0,2):INDEX(grupe,0,3),2,FALSE))</f>
        <v/>
      </c>
      <c r="E115" s="5"/>
      <c r="F115" s="5"/>
      <c r="G115" s="5"/>
      <c r="H115" s="5"/>
      <c r="I115" s="5"/>
      <c r="J115" s="5"/>
      <c r="K115" s="5"/>
      <c r="L115" s="5"/>
      <c r="M115" s="5"/>
      <c r="N115" s="5"/>
      <c r="O115" s="5"/>
      <c r="P115" s="5"/>
      <c r="Q115" s="8">
        <f>IF(COUNTA($A115:$B115,$E115,$H115,$K115,$N115,$F115,$I115,$L115,$O115)=0,"",IF($A115="","Nedostaje disciplina",IF($E115="","Nedostaje godište prvog člana",IF($C115="","Godište nije obuhvaćeno uzrasnom tabelom",IF(COUNTIF(INDIRECT("tdisc_"&amp;$C115),$A115)=0,"Disciplina nije moguća za uzrast "&amp;$C115,IF(IF($E115="",0,IF(LOOKUP($E115,INDEX(grupe,0,1),INDEX(grupe,0,2))=$C115,0,1))+IF($H115="",0,IF(LOOKUP($H115,INDEX(grupe,0,1),INDEX(grupe,0,2))=$C115,0,1))+IF($K115="",0,IF(LOOKUP($K115,INDEX(grupe,0,1),INDEX(grupe,0,2))=$C115,0,1))+IF($N115="",0,IF(LOOKUP($N115,INDEX(grupe,0,1),INDEX(grupe,0,2))=$C115,0,1))&gt;0,"Članovi ekipe nisu iz iste uzrasne grupe",IF(COUNTA($F115,$I115,$L115,$O115)&lt;&gt;COUNTA($E115,$H115,$K115,$N115),"Za svakog člana potrebni su i godište i ime",IF(IF(SUMPRODUCT(--ISERROR(FIND(MID($F115&amp;REPT("a",60),ROW($A$1:$A$60),1),"ABCDEFGHIJKLMNOPQRSTUVWXYZabcdefghijklmnopqrstuvwxyzČĆĐŠŽčćđšž -'")))=0,0,1)+IF(SUMPRODUCT(--ISERROR(FIND(MID($I115&amp;REPT("a",60),ROW($A$1:$A$60),1),"ABCDEFGHIJKLMNOPQRSTUVWXYZabcdefghijklmnopqrstuvwxyzČĆĐŠŽčćđšž -'")))=0,0,1)+IF(SUMPRODUCT(--ISERROR(FIND(MID($L115&amp;REPT("a",60),ROW($A$1:$A$60),1),"ABCDEFGHIJKLMNOPQRSTUVWXYZabcdefghijklmnopqrstuvwxyzČĆĐŠŽčćđšž -'")))=0,0,1)+IF(SUMPRODUCT(--ISERROR(FIND(MID($O115&amp;REPT("a",60),ROW($A$1:$A$60),1),"ABCDEFGHIJKLMNOPQRSTUVWXYZabcdefghijklmnopqrstuvwxyzČĆĐŠŽčćđšž -'")))=0,0,1)&gt;0,"Ime sadrži znakove koji nisu slova",IF(COUNTA($G115,$J115,$M115,$P115)&lt;&gt;COUNTA($F115,$I115,$L115,$O115),"Nedostaje pol za nekog od članova",IF(COUNTA($F115,$I115,$L115,$O115)&lt;VLOOKUP($A115,ekipe,2,FALSE),"Ekipa mora imati najmanje "&amp;VLOOKUP($A115,ekipe,2,FALSE)&amp;" člana",IF(COUNTA($F115,$I115,$L115,$O115)&gt;VLOOKUP($A115,ekipe,3,FALSE),"Ekipa može imati najviše "&amp;VLOOKUP($A115,ekipe,3,FALSE)&amp;" člana",IF($B115="","Nedostaje vrsta ekipe","prijava je kompletna")))))))))))</f>
        <v/>
      </c>
      <c r="R115">
        <f>IF($C115="","sve_ekipne","tdisc_"&amp;$C115)</f>
        <v/>
      </c>
    </row>
    <row r="116" spans="1:18">
      <c r="A116" s="5"/>
      <c r="B116" s="5"/>
      <c r="C116" s="7">
        <f>IF($E116="","",LOOKUP($E116,INDEX(grupe,0,1),INDEX(grupe,0,2)))</f>
        <v/>
      </c>
      <c r="D116" s="7">
        <f>IF($C116="","",VLOOKUP($C116,INDEX(grupe,0,2):INDEX(grupe,0,3),2,FALSE))</f>
        <v/>
      </c>
      <c r="E116" s="5"/>
      <c r="F116" s="5"/>
      <c r="G116" s="5"/>
      <c r="H116" s="5"/>
      <c r="I116" s="5"/>
      <c r="J116" s="5"/>
      <c r="K116" s="5"/>
      <c r="L116" s="5"/>
      <c r="M116" s="5"/>
      <c r="N116" s="5"/>
      <c r="O116" s="5"/>
      <c r="P116" s="5"/>
      <c r="Q116" s="8">
        <f>IF(COUNTA($A116:$B116,$E116,$H116,$K116,$N116,$F116,$I116,$L116,$O116)=0,"",IF($A116="","Nedostaje disciplina",IF($E116="","Nedostaje godište prvog člana",IF($C116="","Godište nije obuhvaćeno uzrasnom tabelom",IF(COUNTIF(INDIRECT("tdisc_"&amp;$C116),$A116)=0,"Disciplina nije moguća za uzrast "&amp;$C116,IF(IF($E116="",0,IF(LOOKUP($E116,INDEX(grupe,0,1),INDEX(grupe,0,2))=$C116,0,1))+IF($H116="",0,IF(LOOKUP($H116,INDEX(grupe,0,1),INDEX(grupe,0,2))=$C116,0,1))+IF($K116="",0,IF(LOOKUP($K116,INDEX(grupe,0,1),INDEX(grupe,0,2))=$C116,0,1))+IF($N116="",0,IF(LOOKUP($N116,INDEX(grupe,0,1),INDEX(grupe,0,2))=$C116,0,1))&gt;0,"Članovi ekipe nisu iz iste uzrasne grupe",IF(COUNTA($F116,$I116,$L116,$O116)&lt;&gt;COUNTA($E116,$H116,$K116,$N116),"Za svakog člana potrebni su i godište i ime",IF(IF(SUMPRODUCT(--ISERROR(FIND(MID($F116&amp;REPT("a",60),ROW($A$1:$A$60),1),"ABCDEFGHIJKLMNOPQRSTUVWXYZabcdefghijklmnopqrstuvwxyzČĆĐŠŽčćđšž -'")))=0,0,1)+IF(SUMPRODUCT(--ISERROR(FIND(MID($I116&amp;REPT("a",60),ROW($A$1:$A$60),1),"ABCDEFGHIJKLMNOPQRSTUVWXYZabcdefghijklmnopqrstuvwxyzČĆĐŠŽčćđšž -'")))=0,0,1)+IF(SUMPRODUCT(--ISERROR(FIND(MID($L116&amp;REPT("a",60),ROW($A$1:$A$60),1),"ABCDEFGHIJKLMNOPQRSTUVWXYZabcdefghijklmnopqrstuvwxyzČĆĐŠŽčćđšž -'")))=0,0,1)+IF(SUMPRODUCT(--ISERROR(FIND(MID($O116&amp;REPT("a",60),ROW($A$1:$A$60),1),"ABCDEFGHIJKLMNOPQRSTUVWXYZabcdefghijklmnopqrstuvwxyzČĆĐŠŽčćđšž -'")))=0,0,1)&gt;0,"Ime sadrži znakove koji nisu slova",IF(COUNTA($G116,$J116,$M116,$P116)&lt;&gt;COUNTA($F116,$I116,$L116,$O116),"Nedostaje pol za nekog od članova",IF(COUNTA($F116,$I116,$L116,$O116)&lt;VLOOKUP($A116,ekipe,2,FALSE),"Ekipa mora imati najmanje "&amp;VLOOKUP($A116,ekipe,2,FALSE)&amp;" člana",IF(COUNTA($F116,$I116,$L116,$O116)&gt;VLOOKUP($A116,ekipe,3,FALSE),"Ekipa može imati najviše "&amp;VLOOKUP($A116,ekipe,3,FALSE)&amp;" člana",IF($B116="","Nedostaje vrsta ekipe","prijava je kompletna")))))))))))</f>
        <v/>
      </c>
      <c r="R116">
        <f>IF($C116="","sve_ekipne","tdisc_"&amp;$C116)</f>
        <v/>
      </c>
    </row>
    <row r="117" spans="1:18">
      <c r="A117" s="5"/>
      <c r="B117" s="5"/>
      <c r="C117" s="7">
        <f>IF($E117="","",LOOKUP($E117,INDEX(grupe,0,1),INDEX(grupe,0,2)))</f>
        <v/>
      </c>
      <c r="D117" s="7">
        <f>IF($C117="","",VLOOKUP($C117,INDEX(grupe,0,2):INDEX(grupe,0,3),2,FALSE))</f>
        <v/>
      </c>
      <c r="E117" s="5"/>
      <c r="F117" s="5"/>
      <c r="G117" s="5"/>
      <c r="H117" s="5"/>
      <c r="I117" s="5"/>
      <c r="J117" s="5"/>
      <c r="K117" s="5"/>
      <c r="L117" s="5"/>
      <c r="M117" s="5"/>
      <c r="N117" s="5"/>
      <c r="O117" s="5"/>
      <c r="P117" s="5"/>
      <c r="Q117" s="8">
        <f>IF(COUNTA($A117:$B117,$E117,$H117,$K117,$N117,$F117,$I117,$L117,$O117)=0,"",IF($A117="","Nedostaje disciplina",IF($E117="","Nedostaje godište prvog člana",IF($C117="","Godište nije obuhvaćeno uzrasnom tabelom",IF(COUNTIF(INDIRECT("tdisc_"&amp;$C117),$A117)=0,"Disciplina nije moguća za uzrast "&amp;$C117,IF(IF($E117="",0,IF(LOOKUP($E117,INDEX(grupe,0,1),INDEX(grupe,0,2))=$C117,0,1))+IF($H117="",0,IF(LOOKUP($H117,INDEX(grupe,0,1),INDEX(grupe,0,2))=$C117,0,1))+IF($K117="",0,IF(LOOKUP($K117,INDEX(grupe,0,1),INDEX(grupe,0,2))=$C117,0,1))+IF($N117="",0,IF(LOOKUP($N117,INDEX(grupe,0,1),INDEX(grupe,0,2))=$C117,0,1))&gt;0,"Članovi ekipe nisu iz iste uzrasne grupe",IF(COUNTA($F117,$I117,$L117,$O117)&lt;&gt;COUNTA($E117,$H117,$K117,$N117),"Za svakog člana potrebni su i godište i ime",IF(IF(SUMPRODUCT(--ISERROR(FIND(MID($F117&amp;REPT("a",60),ROW($A$1:$A$60),1),"ABCDEFGHIJKLMNOPQRSTUVWXYZabcdefghijklmnopqrstuvwxyzČĆĐŠŽčćđšž -'")))=0,0,1)+IF(SUMPRODUCT(--ISERROR(FIND(MID($I117&amp;REPT("a",60),ROW($A$1:$A$60),1),"ABCDEFGHIJKLMNOPQRSTUVWXYZabcdefghijklmnopqrstuvwxyzČĆĐŠŽčćđšž -'")))=0,0,1)+IF(SUMPRODUCT(--ISERROR(FIND(MID($L117&amp;REPT("a",60),ROW($A$1:$A$60),1),"ABCDEFGHIJKLMNOPQRSTUVWXYZabcdefghijklmnopqrstuvwxyzČĆĐŠŽčćđšž -'")))=0,0,1)+IF(SUMPRODUCT(--ISERROR(FIND(MID($O117&amp;REPT("a",60),ROW($A$1:$A$60),1),"ABCDEFGHIJKLMNOPQRSTUVWXYZabcdefghijklmnopqrstuvwxyzČĆĐŠŽčćđšž -'")))=0,0,1)&gt;0,"Ime sadrži znakove koji nisu slova",IF(COUNTA($G117,$J117,$M117,$P117)&lt;&gt;COUNTA($F117,$I117,$L117,$O117),"Nedostaje pol za nekog od članova",IF(COUNTA($F117,$I117,$L117,$O117)&lt;VLOOKUP($A117,ekipe,2,FALSE),"Ekipa mora imati najmanje "&amp;VLOOKUP($A117,ekipe,2,FALSE)&amp;" člana",IF(COUNTA($F117,$I117,$L117,$O117)&gt;VLOOKUP($A117,ekipe,3,FALSE),"Ekipa može imati najviše "&amp;VLOOKUP($A117,ekipe,3,FALSE)&amp;" člana",IF($B117="","Nedostaje vrsta ekipe","prijava je kompletna")))))))))))</f>
        <v/>
      </c>
      <c r="R117">
        <f>IF($C117="","sve_ekipne","tdisc_"&amp;$C117)</f>
        <v/>
      </c>
    </row>
    <row r="118" spans="1:18">
      <c r="A118" s="5"/>
      <c r="B118" s="5"/>
      <c r="C118" s="7">
        <f>IF($E118="","",LOOKUP($E118,INDEX(grupe,0,1),INDEX(grupe,0,2)))</f>
        <v/>
      </c>
      <c r="D118" s="7">
        <f>IF($C118="","",VLOOKUP($C118,INDEX(grupe,0,2):INDEX(grupe,0,3),2,FALSE))</f>
        <v/>
      </c>
      <c r="E118" s="5"/>
      <c r="F118" s="5"/>
      <c r="G118" s="5"/>
      <c r="H118" s="5"/>
      <c r="I118" s="5"/>
      <c r="J118" s="5"/>
      <c r="K118" s="5"/>
      <c r="L118" s="5"/>
      <c r="M118" s="5"/>
      <c r="N118" s="5"/>
      <c r="O118" s="5"/>
      <c r="P118" s="5"/>
      <c r="Q118" s="8">
        <f>IF(COUNTA($A118:$B118,$E118,$H118,$K118,$N118,$F118,$I118,$L118,$O118)=0,"",IF($A118="","Nedostaje disciplina",IF($E118="","Nedostaje godište prvog člana",IF($C118="","Godište nije obuhvaćeno uzrasnom tabelom",IF(COUNTIF(INDIRECT("tdisc_"&amp;$C118),$A118)=0,"Disciplina nije moguća za uzrast "&amp;$C118,IF(IF($E118="",0,IF(LOOKUP($E118,INDEX(grupe,0,1),INDEX(grupe,0,2))=$C118,0,1))+IF($H118="",0,IF(LOOKUP($H118,INDEX(grupe,0,1),INDEX(grupe,0,2))=$C118,0,1))+IF($K118="",0,IF(LOOKUP($K118,INDEX(grupe,0,1),INDEX(grupe,0,2))=$C118,0,1))+IF($N118="",0,IF(LOOKUP($N118,INDEX(grupe,0,1),INDEX(grupe,0,2))=$C118,0,1))&gt;0,"Članovi ekipe nisu iz iste uzrasne grupe",IF(COUNTA($F118,$I118,$L118,$O118)&lt;&gt;COUNTA($E118,$H118,$K118,$N118),"Za svakog člana potrebni su i godište i ime",IF(IF(SUMPRODUCT(--ISERROR(FIND(MID($F118&amp;REPT("a",60),ROW($A$1:$A$60),1),"ABCDEFGHIJKLMNOPQRSTUVWXYZabcdefghijklmnopqrstuvwxyzČĆĐŠŽčćđšž -'")))=0,0,1)+IF(SUMPRODUCT(--ISERROR(FIND(MID($I118&amp;REPT("a",60),ROW($A$1:$A$60),1),"ABCDEFGHIJKLMNOPQRSTUVWXYZabcdefghijklmnopqrstuvwxyzČĆĐŠŽčćđšž -'")))=0,0,1)+IF(SUMPRODUCT(--ISERROR(FIND(MID($L118&amp;REPT("a",60),ROW($A$1:$A$60),1),"ABCDEFGHIJKLMNOPQRSTUVWXYZabcdefghijklmnopqrstuvwxyzČĆĐŠŽčćđšž -'")))=0,0,1)+IF(SUMPRODUCT(--ISERROR(FIND(MID($O118&amp;REPT("a",60),ROW($A$1:$A$60),1),"ABCDEFGHIJKLMNOPQRSTUVWXYZabcdefghijklmnopqrstuvwxyzČĆĐŠŽčćđšž -'")))=0,0,1)&gt;0,"Ime sadrži znakove koji nisu slova",IF(COUNTA($G118,$J118,$M118,$P118)&lt;&gt;COUNTA($F118,$I118,$L118,$O118),"Nedostaje pol za nekog od članova",IF(COUNTA($F118,$I118,$L118,$O118)&lt;VLOOKUP($A118,ekipe,2,FALSE),"Ekipa mora imati najmanje "&amp;VLOOKUP($A118,ekipe,2,FALSE)&amp;" člana",IF(COUNTA($F118,$I118,$L118,$O118)&gt;VLOOKUP($A118,ekipe,3,FALSE),"Ekipa može imati najviše "&amp;VLOOKUP($A118,ekipe,3,FALSE)&amp;" člana",IF($B118="","Nedostaje vrsta ekipe","prijava je kompletna")))))))))))</f>
        <v/>
      </c>
      <c r="R118">
        <f>IF($C118="","sve_ekipne","tdisc_"&amp;$C118)</f>
        <v/>
      </c>
    </row>
    <row r="119" spans="1:18">
      <c r="A119" s="5"/>
      <c r="B119" s="5"/>
      <c r="C119" s="7">
        <f>IF($E119="","",LOOKUP($E119,INDEX(grupe,0,1),INDEX(grupe,0,2)))</f>
        <v/>
      </c>
      <c r="D119" s="7">
        <f>IF($C119="","",VLOOKUP($C119,INDEX(grupe,0,2):INDEX(grupe,0,3),2,FALSE))</f>
        <v/>
      </c>
      <c r="E119" s="5"/>
      <c r="F119" s="5"/>
      <c r="G119" s="5"/>
      <c r="H119" s="5"/>
      <c r="I119" s="5"/>
      <c r="J119" s="5"/>
      <c r="K119" s="5"/>
      <c r="L119" s="5"/>
      <c r="M119" s="5"/>
      <c r="N119" s="5"/>
      <c r="O119" s="5"/>
      <c r="P119" s="5"/>
      <c r="Q119" s="8">
        <f>IF(COUNTA($A119:$B119,$E119,$H119,$K119,$N119,$F119,$I119,$L119,$O119)=0,"",IF($A119="","Nedostaje disciplina",IF($E119="","Nedostaje godište prvog člana",IF($C119="","Godište nije obuhvaćeno uzrasnom tabelom",IF(COUNTIF(INDIRECT("tdisc_"&amp;$C119),$A119)=0,"Disciplina nije moguća za uzrast "&amp;$C119,IF(IF($E119="",0,IF(LOOKUP($E119,INDEX(grupe,0,1),INDEX(grupe,0,2))=$C119,0,1))+IF($H119="",0,IF(LOOKUP($H119,INDEX(grupe,0,1),INDEX(grupe,0,2))=$C119,0,1))+IF($K119="",0,IF(LOOKUP($K119,INDEX(grupe,0,1),INDEX(grupe,0,2))=$C119,0,1))+IF($N119="",0,IF(LOOKUP($N119,INDEX(grupe,0,1),INDEX(grupe,0,2))=$C119,0,1))&gt;0,"Članovi ekipe nisu iz iste uzrasne grupe",IF(COUNTA($F119,$I119,$L119,$O119)&lt;&gt;COUNTA($E119,$H119,$K119,$N119),"Za svakog člana potrebni su i godište i ime",IF(IF(SUMPRODUCT(--ISERROR(FIND(MID($F119&amp;REPT("a",60),ROW($A$1:$A$60),1),"ABCDEFGHIJKLMNOPQRSTUVWXYZabcdefghijklmnopqrstuvwxyzČĆĐŠŽčćđšž -'")))=0,0,1)+IF(SUMPRODUCT(--ISERROR(FIND(MID($I119&amp;REPT("a",60),ROW($A$1:$A$60),1),"ABCDEFGHIJKLMNOPQRSTUVWXYZabcdefghijklmnopqrstuvwxyzČĆĐŠŽčćđšž -'")))=0,0,1)+IF(SUMPRODUCT(--ISERROR(FIND(MID($L119&amp;REPT("a",60),ROW($A$1:$A$60),1),"ABCDEFGHIJKLMNOPQRSTUVWXYZabcdefghijklmnopqrstuvwxyzČĆĐŠŽčćđšž -'")))=0,0,1)+IF(SUMPRODUCT(--ISERROR(FIND(MID($O119&amp;REPT("a",60),ROW($A$1:$A$60),1),"ABCDEFGHIJKLMNOPQRSTUVWXYZabcdefghijklmnopqrstuvwxyzČĆĐŠŽčćđšž -'")))=0,0,1)&gt;0,"Ime sadrži znakove koji nisu slova",IF(COUNTA($G119,$J119,$M119,$P119)&lt;&gt;COUNTA($F119,$I119,$L119,$O119),"Nedostaje pol za nekog od članova",IF(COUNTA($F119,$I119,$L119,$O119)&lt;VLOOKUP($A119,ekipe,2,FALSE),"Ekipa mora imati najmanje "&amp;VLOOKUP($A119,ekipe,2,FALSE)&amp;" člana",IF(COUNTA($F119,$I119,$L119,$O119)&gt;VLOOKUP($A119,ekipe,3,FALSE),"Ekipa može imati najviše "&amp;VLOOKUP($A119,ekipe,3,FALSE)&amp;" člana",IF($B119="","Nedostaje vrsta ekipe","prijava je kompletna")))))))))))</f>
        <v/>
      </c>
      <c r="R119">
        <f>IF($C119="","sve_ekipne","tdisc_"&amp;$C119)</f>
        <v/>
      </c>
    </row>
    <row r="120" spans="1:18">
      <c r="A120" s="5"/>
      <c r="B120" s="5"/>
      <c r="C120" s="7">
        <f>IF($E120="","",LOOKUP($E120,INDEX(grupe,0,1),INDEX(grupe,0,2)))</f>
        <v/>
      </c>
      <c r="D120" s="7">
        <f>IF($C120="","",VLOOKUP($C120,INDEX(grupe,0,2):INDEX(grupe,0,3),2,FALSE))</f>
        <v/>
      </c>
      <c r="E120" s="5"/>
      <c r="F120" s="5"/>
      <c r="G120" s="5"/>
      <c r="H120" s="5"/>
      <c r="I120" s="5"/>
      <c r="J120" s="5"/>
      <c r="K120" s="5"/>
      <c r="L120" s="5"/>
      <c r="M120" s="5"/>
      <c r="N120" s="5"/>
      <c r="O120" s="5"/>
      <c r="P120" s="5"/>
      <c r="Q120" s="8">
        <f>IF(COUNTA($A120:$B120,$E120,$H120,$K120,$N120,$F120,$I120,$L120,$O120)=0,"",IF($A120="","Nedostaje disciplina",IF($E120="","Nedostaje godište prvog člana",IF($C120="","Godište nije obuhvaćeno uzrasnom tabelom",IF(COUNTIF(INDIRECT("tdisc_"&amp;$C120),$A120)=0,"Disciplina nije moguća za uzrast "&amp;$C120,IF(IF($E120="",0,IF(LOOKUP($E120,INDEX(grupe,0,1),INDEX(grupe,0,2))=$C120,0,1))+IF($H120="",0,IF(LOOKUP($H120,INDEX(grupe,0,1),INDEX(grupe,0,2))=$C120,0,1))+IF($K120="",0,IF(LOOKUP($K120,INDEX(grupe,0,1),INDEX(grupe,0,2))=$C120,0,1))+IF($N120="",0,IF(LOOKUP($N120,INDEX(grupe,0,1),INDEX(grupe,0,2))=$C120,0,1))&gt;0,"Članovi ekipe nisu iz iste uzrasne grupe",IF(COUNTA($F120,$I120,$L120,$O120)&lt;&gt;COUNTA($E120,$H120,$K120,$N120),"Za svakog člana potrebni su i godište i ime",IF(IF(SUMPRODUCT(--ISERROR(FIND(MID($F120&amp;REPT("a",60),ROW($A$1:$A$60),1),"ABCDEFGHIJKLMNOPQRSTUVWXYZabcdefghijklmnopqrstuvwxyzČĆĐŠŽčćđšž -'")))=0,0,1)+IF(SUMPRODUCT(--ISERROR(FIND(MID($I120&amp;REPT("a",60),ROW($A$1:$A$60),1),"ABCDEFGHIJKLMNOPQRSTUVWXYZabcdefghijklmnopqrstuvwxyzČĆĐŠŽčćđšž -'")))=0,0,1)+IF(SUMPRODUCT(--ISERROR(FIND(MID($L120&amp;REPT("a",60),ROW($A$1:$A$60),1),"ABCDEFGHIJKLMNOPQRSTUVWXYZabcdefghijklmnopqrstuvwxyzČĆĐŠŽčćđšž -'")))=0,0,1)+IF(SUMPRODUCT(--ISERROR(FIND(MID($O120&amp;REPT("a",60),ROW($A$1:$A$60),1),"ABCDEFGHIJKLMNOPQRSTUVWXYZabcdefghijklmnopqrstuvwxyzČĆĐŠŽčćđšž -'")))=0,0,1)&gt;0,"Ime sadrži znakove koji nisu slova",IF(COUNTA($G120,$J120,$M120,$P120)&lt;&gt;COUNTA($F120,$I120,$L120,$O120),"Nedostaje pol za nekog od članova",IF(COUNTA($F120,$I120,$L120,$O120)&lt;VLOOKUP($A120,ekipe,2,FALSE),"Ekipa mora imati najmanje "&amp;VLOOKUP($A120,ekipe,2,FALSE)&amp;" člana",IF(COUNTA($F120,$I120,$L120,$O120)&gt;VLOOKUP($A120,ekipe,3,FALSE),"Ekipa može imati najviše "&amp;VLOOKUP($A120,ekipe,3,FALSE)&amp;" člana",IF($B120="","Nedostaje vrsta ekipe","prijava je kompletna")))))))))))</f>
        <v/>
      </c>
      <c r="R120">
        <f>IF($C120="","sve_ekipne","tdisc_"&amp;$C120)</f>
        <v/>
      </c>
    </row>
    <row r="121" spans="1:18">
      <c r="A121" s="5"/>
      <c r="B121" s="5"/>
      <c r="C121" s="7">
        <f>IF($E121="","",LOOKUP($E121,INDEX(grupe,0,1),INDEX(grupe,0,2)))</f>
        <v/>
      </c>
      <c r="D121" s="7">
        <f>IF($C121="","",VLOOKUP($C121,INDEX(grupe,0,2):INDEX(grupe,0,3),2,FALSE))</f>
        <v/>
      </c>
      <c r="E121" s="5"/>
      <c r="F121" s="5"/>
      <c r="G121" s="5"/>
      <c r="H121" s="5"/>
      <c r="I121" s="5"/>
      <c r="J121" s="5"/>
      <c r="K121" s="5"/>
      <c r="L121" s="5"/>
      <c r="M121" s="5"/>
      <c r="N121" s="5"/>
      <c r="O121" s="5"/>
      <c r="P121" s="5"/>
      <c r="Q121" s="8">
        <f>IF(COUNTA($A121:$B121,$E121,$H121,$K121,$N121,$F121,$I121,$L121,$O121)=0,"",IF($A121="","Nedostaje disciplina",IF($E121="","Nedostaje godište prvog člana",IF($C121="","Godište nije obuhvaćeno uzrasnom tabelom",IF(COUNTIF(INDIRECT("tdisc_"&amp;$C121),$A121)=0,"Disciplina nije moguća za uzrast "&amp;$C121,IF(IF($E121="",0,IF(LOOKUP($E121,INDEX(grupe,0,1),INDEX(grupe,0,2))=$C121,0,1))+IF($H121="",0,IF(LOOKUP($H121,INDEX(grupe,0,1),INDEX(grupe,0,2))=$C121,0,1))+IF($K121="",0,IF(LOOKUP($K121,INDEX(grupe,0,1),INDEX(grupe,0,2))=$C121,0,1))+IF($N121="",0,IF(LOOKUP($N121,INDEX(grupe,0,1),INDEX(grupe,0,2))=$C121,0,1))&gt;0,"Članovi ekipe nisu iz iste uzrasne grupe",IF(COUNTA($F121,$I121,$L121,$O121)&lt;&gt;COUNTA($E121,$H121,$K121,$N121),"Za svakog člana potrebni su i godište i ime",IF(IF(SUMPRODUCT(--ISERROR(FIND(MID($F121&amp;REPT("a",60),ROW($A$1:$A$60),1),"ABCDEFGHIJKLMNOPQRSTUVWXYZabcdefghijklmnopqrstuvwxyzČĆĐŠŽčćđšž -'")))=0,0,1)+IF(SUMPRODUCT(--ISERROR(FIND(MID($I121&amp;REPT("a",60),ROW($A$1:$A$60),1),"ABCDEFGHIJKLMNOPQRSTUVWXYZabcdefghijklmnopqrstuvwxyzČĆĐŠŽčćđšž -'")))=0,0,1)+IF(SUMPRODUCT(--ISERROR(FIND(MID($L121&amp;REPT("a",60),ROW($A$1:$A$60),1),"ABCDEFGHIJKLMNOPQRSTUVWXYZabcdefghijklmnopqrstuvwxyzČĆĐŠŽčćđšž -'")))=0,0,1)+IF(SUMPRODUCT(--ISERROR(FIND(MID($O121&amp;REPT("a",60),ROW($A$1:$A$60),1),"ABCDEFGHIJKLMNOPQRSTUVWXYZabcdefghijklmnopqrstuvwxyzČĆĐŠŽčćđšž -'")))=0,0,1)&gt;0,"Ime sadrži znakove koji nisu slova",IF(COUNTA($G121,$J121,$M121,$P121)&lt;&gt;COUNTA($F121,$I121,$L121,$O121),"Nedostaje pol za nekog od članova",IF(COUNTA($F121,$I121,$L121,$O121)&lt;VLOOKUP($A121,ekipe,2,FALSE),"Ekipa mora imati najmanje "&amp;VLOOKUP($A121,ekipe,2,FALSE)&amp;" člana",IF(COUNTA($F121,$I121,$L121,$O121)&gt;VLOOKUP($A121,ekipe,3,FALSE),"Ekipa može imati najviše "&amp;VLOOKUP($A121,ekipe,3,FALSE)&amp;" člana",IF($B121="","Nedostaje vrsta ekipe","prijava je kompletna")))))))))))</f>
        <v/>
      </c>
      <c r="R121">
        <f>IF($C121="","sve_ekipne","tdisc_"&amp;$C121)</f>
        <v/>
      </c>
    </row>
    <row r="122" spans="1:18">
      <c r="A122" s="5"/>
      <c r="B122" s="5"/>
      <c r="C122" s="7">
        <f>IF($E122="","",LOOKUP($E122,INDEX(grupe,0,1),INDEX(grupe,0,2)))</f>
        <v/>
      </c>
      <c r="D122" s="7">
        <f>IF($C122="","",VLOOKUP($C122,INDEX(grupe,0,2):INDEX(grupe,0,3),2,FALSE))</f>
        <v/>
      </c>
      <c r="E122" s="5"/>
      <c r="F122" s="5"/>
      <c r="G122" s="5"/>
      <c r="H122" s="5"/>
      <c r="I122" s="5"/>
      <c r="J122" s="5"/>
      <c r="K122" s="5"/>
      <c r="L122" s="5"/>
      <c r="M122" s="5"/>
      <c r="N122" s="5"/>
      <c r="O122" s="5"/>
      <c r="P122" s="5"/>
      <c r="Q122" s="8">
        <f>IF(COUNTA($A122:$B122,$E122,$H122,$K122,$N122,$F122,$I122,$L122,$O122)=0,"",IF($A122="","Nedostaje disciplina",IF($E122="","Nedostaje godište prvog člana",IF($C122="","Godište nije obuhvaćeno uzrasnom tabelom",IF(COUNTIF(INDIRECT("tdisc_"&amp;$C122),$A122)=0,"Disciplina nije moguća za uzrast "&amp;$C122,IF(IF($E122="",0,IF(LOOKUP($E122,INDEX(grupe,0,1),INDEX(grupe,0,2))=$C122,0,1))+IF($H122="",0,IF(LOOKUP($H122,INDEX(grupe,0,1),INDEX(grupe,0,2))=$C122,0,1))+IF($K122="",0,IF(LOOKUP($K122,INDEX(grupe,0,1),INDEX(grupe,0,2))=$C122,0,1))+IF($N122="",0,IF(LOOKUP($N122,INDEX(grupe,0,1),INDEX(grupe,0,2))=$C122,0,1))&gt;0,"Članovi ekipe nisu iz iste uzrasne grupe",IF(COUNTA($F122,$I122,$L122,$O122)&lt;&gt;COUNTA($E122,$H122,$K122,$N122),"Za svakog člana potrebni su i godište i ime",IF(IF(SUMPRODUCT(--ISERROR(FIND(MID($F122&amp;REPT("a",60),ROW($A$1:$A$60),1),"ABCDEFGHIJKLMNOPQRSTUVWXYZabcdefghijklmnopqrstuvwxyzČĆĐŠŽčćđšž -'")))=0,0,1)+IF(SUMPRODUCT(--ISERROR(FIND(MID($I122&amp;REPT("a",60),ROW($A$1:$A$60),1),"ABCDEFGHIJKLMNOPQRSTUVWXYZabcdefghijklmnopqrstuvwxyzČĆĐŠŽčćđšž -'")))=0,0,1)+IF(SUMPRODUCT(--ISERROR(FIND(MID($L122&amp;REPT("a",60),ROW($A$1:$A$60),1),"ABCDEFGHIJKLMNOPQRSTUVWXYZabcdefghijklmnopqrstuvwxyzČĆĐŠŽčćđšž -'")))=0,0,1)+IF(SUMPRODUCT(--ISERROR(FIND(MID($O122&amp;REPT("a",60),ROW($A$1:$A$60),1),"ABCDEFGHIJKLMNOPQRSTUVWXYZabcdefghijklmnopqrstuvwxyzČĆĐŠŽčćđšž -'")))=0,0,1)&gt;0,"Ime sadrži znakove koji nisu slova",IF(COUNTA($G122,$J122,$M122,$P122)&lt;&gt;COUNTA($F122,$I122,$L122,$O122),"Nedostaje pol za nekog od članova",IF(COUNTA($F122,$I122,$L122,$O122)&lt;VLOOKUP($A122,ekipe,2,FALSE),"Ekipa mora imati najmanje "&amp;VLOOKUP($A122,ekipe,2,FALSE)&amp;" člana",IF(COUNTA($F122,$I122,$L122,$O122)&gt;VLOOKUP($A122,ekipe,3,FALSE),"Ekipa može imati najviše "&amp;VLOOKUP($A122,ekipe,3,FALSE)&amp;" člana",IF($B122="","Nedostaje vrsta ekipe","prijava je kompletna")))))))))))</f>
        <v/>
      </c>
      <c r="R122">
        <f>IF($C122="","sve_ekipne","tdisc_"&amp;$C122)</f>
        <v/>
      </c>
    </row>
    <row r="123" spans="1:18">
      <c r="A123" s="5"/>
      <c r="B123" s="5"/>
      <c r="C123" s="7">
        <f>IF($E123="","",LOOKUP($E123,INDEX(grupe,0,1),INDEX(grupe,0,2)))</f>
        <v/>
      </c>
      <c r="D123" s="7">
        <f>IF($C123="","",VLOOKUP($C123,INDEX(grupe,0,2):INDEX(grupe,0,3),2,FALSE))</f>
        <v/>
      </c>
      <c r="E123" s="5"/>
      <c r="F123" s="5"/>
      <c r="G123" s="5"/>
      <c r="H123" s="5"/>
      <c r="I123" s="5"/>
      <c r="J123" s="5"/>
      <c r="K123" s="5"/>
      <c r="L123" s="5"/>
      <c r="M123" s="5"/>
      <c r="N123" s="5"/>
      <c r="O123" s="5"/>
      <c r="P123" s="5"/>
      <c r="Q123" s="8">
        <f>IF(COUNTA($A123:$B123,$E123,$H123,$K123,$N123,$F123,$I123,$L123,$O123)=0,"",IF($A123="","Nedostaje disciplina",IF($E123="","Nedostaje godište prvog člana",IF($C123="","Godište nije obuhvaćeno uzrasnom tabelom",IF(COUNTIF(INDIRECT("tdisc_"&amp;$C123),$A123)=0,"Disciplina nije moguća za uzrast "&amp;$C123,IF(IF($E123="",0,IF(LOOKUP($E123,INDEX(grupe,0,1),INDEX(grupe,0,2))=$C123,0,1))+IF($H123="",0,IF(LOOKUP($H123,INDEX(grupe,0,1),INDEX(grupe,0,2))=$C123,0,1))+IF($K123="",0,IF(LOOKUP($K123,INDEX(grupe,0,1),INDEX(grupe,0,2))=$C123,0,1))+IF($N123="",0,IF(LOOKUP($N123,INDEX(grupe,0,1),INDEX(grupe,0,2))=$C123,0,1))&gt;0,"Članovi ekipe nisu iz iste uzrasne grupe",IF(COUNTA($F123,$I123,$L123,$O123)&lt;&gt;COUNTA($E123,$H123,$K123,$N123),"Za svakog člana potrebni su i godište i ime",IF(IF(SUMPRODUCT(--ISERROR(FIND(MID($F123&amp;REPT("a",60),ROW($A$1:$A$60),1),"ABCDEFGHIJKLMNOPQRSTUVWXYZabcdefghijklmnopqrstuvwxyzČĆĐŠŽčćđšž -'")))=0,0,1)+IF(SUMPRODUCT(--ISERROR(FIND(MID($I123&amp;REPT("a",60),ROW($A$1:$A$60),1),"ABCDEFGHIJKLMNOPQRSTUVWXYZabcdefghijklmnopqrstuvwxyzČĆĐŠŽčćđšž -'")))=0,0,1)+IF(SUMPRODUCT(--ISERROR(FIND(MID($L123&amp;REPT("a",60),ROW($A$1:$A$60),1),"ABCDEFGHIJKLMNOPQRSTUVWXYZabcdefghijklmnopqrstuvwxyzČĆĐŠŽčćđšž -'")))=0,0,1)+IF(SUMPRODUCT(--ISERROR(FIND(MID($O123&amp;REPT("a",60),ROW($A$1:$A$60),1),"ABCDEFGHIJKLMNOPQRSTUVWXYZabcdefghijklmnopqrstuvwxyzČĆĐŠŽčćđšž -'")))=0,0,1)&gt;0,"Ime sadrži znakove koji nisu slova",IF(COUNTA($G123,$J123,$M123,$P123)&lt;&gt;COUNTA($F123,$I123,$L123,$O123),"Nedostaje pol za nekog od članova",IF(COUNTA($F123,$I123,$L123,$O123)&lt;VLOOKUP($A123,ekipe,2,FALSE),"Ekipa mora imati najmanje "&amp;VLOOKUP($A123,ekipe,2,FALSE)&amp;" člana",IF(COUNTA($F123,$I123,$L123,$O123)&gt;VLOOKUP($A123,ekipe,3,FALSE),"Ekipa može imati najviše "&amp;VLOOKUP($A123,ekipe,3,FALSE)&amp;" člana",IF($B123="","Nedostaje vrsta ekipe","prijava je kompletna")))))))))))</f>
        <v/>
      </c>
      <c r="R123">
        <f>IF($C123="","sve_ekipne","tdisc_"&amp;$C123)</f>
        <v/>
      </c>
    </row>
    <row r="124" spans="1:18">
      <c r="A124" s="5"/>
      <c r="B124" s="5"/>
      <c r="C124" s="7">
        <f>IF($E124="","",LOOKUP($E124,INDEX(grupe,0,1),INDEX(grupe,0,2)))</f>
        <v/>
      </c>
      <c r="D124" s="7">
        <f>IF($C124="","",VLOOKUP($C124,INDEX(grupe,0,2):INDEX(grupe,0,3),2,FALSE))</f>
        <v/>
      </c>
      <c r="E124" s="5"/>
      <c r="F124" s="5"/>
      <c r="G124" s="5"/>
      <c r="H124" s="5"/>
      <c r="I124" s="5"/>
      <c r="J124" s="5"/>
      <c r="K124" s="5"/>
      <c r="L124" s="5"/>
      <c r="M124" s="5"/>
      <c r="N124" s="5"/>
      <c r="O124" s="5"/>
      <c r="P124" s="5"/>
      <c r="Q124" s="8">
        <f>IF(COUNTA($A124:$B124,$E124,$H124,$K124,$N124,$F124,$I124,$L124,$O124)=0,"",IF($A124="","Nedostaje disciplina",IF($E124="","Nedostaje godište prvog člana",IF($C124="","Godište nije obuhvaćeno uzrasnom tabelom",IF(COUNTIF(INDIRECT("tdisc_"&amp;$C124),$A124)=0,"Disciplina nije moguća za uzrast "&amp;$C124,IF(IF($E124="",0,IF(LOOKUP($E124,INDEX(grupe,0,1),INDEX(grupe,0,2))=$C124,0,1))+IF($H124="",0,IF(LOOKUP($H124,INDEX(grupe,0,1),INDEX(grupe,0,2))=$C124,0,1))+IF($K124="",0,IF(LOOKUP($K124,INDEX(grupe,0,1),INDEX(grupe,0,2))=$C124,0,1))+IF($N124="",0,IF(LOOKUP($N124,INDEX(grupe,0,1),INDEX(grupe,0,2))=$C124,0,1))&gt;0,"Članovi ekipe nisu iz iste uzrasne grupe",IF(COUNTA($F124,$I124,$L124,$O124)&lt;&gt;COUNTA($E124,$H124,$K124,$N124),"Za svakog člana potrebni su i godište i ime",IF(IF(SUMPRODUCT(--ISERROR(FIND(MID($F124&amp;REPT("a",60),ROW($A$1:$A$60),1),"ABCDEFGHIJKLMNOPQRSTUVWXYZabcdefghijklmnopqrstuvwxyzČĆĐŠŽčćđšž -'")))=0,0,1)+IF(SUMPRODUCT(--ISERROR(FIND(MID($I124&amp;REPT("a",60),ROW($A$1:$A$60),1),"ABCDEFGHIJKLMNOPQRSTUVWXYZabcdefghijklmnopqrstuvwxyzČĆĐŠŽčćđšž -'")))=0,0,1)+IF(SUMPRODUCT(--ISERROR(FIND(MID($L124&amp;REPT("a",60),ROW($A$1:$A$60),1),"ABCDEFGHIJKLMNOPQRSTUVWXYZabcdefghijklmnopqrstuvwxyzČĆĐŠŽčćđšž -'")))=0,0,1)+IF(SUMPRODUCT(--ISERROR(FIND(MID($O124&amp;REPT("a",60),ROW($A$1:$A$60),1),"ABCDEFGHIJKLMNOPQRSTUVWXYZabcdefghijklmnopqrstuvwxyzČĆĐŠŽčćđšž -'")))=0,0,1)&gt;0,"Ime sadrži znakove koji nisu slova",IF(COUNTA($G124,$J124,$M124,$P124)&lt;&gt;COUNTA($F124,$I124,$L124,$O124),"Nedostaje pol za nekog od članova",IF(COUNTA($F124,$I124,$L124,$O124)&lt;VLOOKUP($A124,ekipe,2,FALSE),"Ekipa mora imati najmanje "&amp;VLOOKUP($A124,ekipe,2,FALSE)&amp;" člana",IF(COUNTA($F124,$I124,$L124,$O124)&gt;VLOOKUP($A124,ekipe,3,FALSE),"Ekipa može imati najviše "&amp;VLOOKUP($A124,ekipe,3,FALSE)&amp;" člana",IF($B124="","Nedostaje vrsta ekipe","prijava je kompletna")))))))))))</f>
        <v/>
      </c>
      <c r="R124">
        <f>IF($C124="","sve_ekipne","tdisc_"&amp;$C124)</f>
        <v/>
      </c>
    </row>
    <row r="125" spans="1:18">
      <c r="A125" s="5"/>
      <c r="B125" s="5"/>
      <c r="C125" s="7">
        <f>IF($E125="","",LOOKUP($E125,INDEX(grupe,0,1),INDEX(grupe,0,2)))</f>
        <v/>
      </c>
      <c r="D125" s="7">
        <f>IF($C125="","",VLOOKUP($C125,INDEX(grupe,0,2):INDEX(grupe,0,3),2,FALSE))</f>
        <v/>
      </c>
      <c r="E125" s="5"/>
      <c r="F125" s="5"/>
      <c r="G125" s="5"/>
      <c r="H125" s="5"/>
      <c r="I125" s="5"/>
      <c r="J125" s="5"/>
      <c r="K125" s="5"/>
      <c r="L125" s="5"/>
      <c r="M125" s="5"/>
      <c r="N125" s="5"/>
      <c r="O125" s="5"/>
      <c r="P125" s="5"/>
      <c r="Q125" s="8">
        <f>IF(COUNTA($A125:$B125,$E125,$H125,$K125,$N125,$F125,$I125,$L125,$O125)=0,"",IF($A125="","Nedostaje disciplina",IF($E125="","Nedostaje godište prvog člana",IF($C125="","Godište nije obuhvaćeno uzrasnom tabelom",IF(COUNTIF(INDIRECT("tdisc_"&amp;$C125),$A125)=0,"Disciplina nije moguća za uzrast "&amp;$C125,IF(IF($E125="",0,IF(LOOKUP($E125,INDEX(grupe,0,1),INDEX(grupe,0,2))=$C125,0,1))+IF($H125="",0,IF(LOOKUP($H125,INDEX(grupe,0,1),INDEX(grupe,0,2))=$C125,0,1))+IF($K125="",0,IF(LOOKUP($K125,INDEX(grupe,0,1),INDEX(grupe,0,2))=$C125,0,1))+IF($N125="",0,IF(LOOKUP($N125,INDEX(grupe,0,1),INDEX(grupe,0,2))=$C125,0,1))&gt;0,"Članovi ekipe nisu iz iste uzrasne grupe",IF(COUNTA($F125,$I125,$L125,$O125)&lt;&gt;COUNTA($E125,$H125,$K125,$N125),"Za svakog člana potrebni su i godište i ime",IF(IF(SUMPRODUCT(--ISERROR(FIND(MID($F125&amp;REPT("a",60),ROW($A$1:$A$60),1),"ABCDEFGHIJKLMNOPQRSTUVWXYZabcdefghijklmnopqrstuvwxyzČĆĐŠŽčćđšž -'")))=0,0,1)+IF(SUMPRODUCT(--ISERROR(FIND(MID($I125&amp;REPT("a",60),ROW($A$1:$A$60),1),"ABCDEFGHIJKLMNOPQRSTUVWXYZabcdefghijklmnopqrstuvwxyzČĆĐŠŽčćđšž -'")))=0,0,1)+IF(SUMPRODUCT(--ISERROR(FIND(MID($L125&amp;REPT("a",60),ROW($A$1:$A$60),1),"ABCDEFGHIJKLMNOPQRSTUVWXYZabcdefghijklmnopqrstuvwxyzČĆĐŠŽčćđšž -'")))=0,0,1)+IF(SUMPRODUCT(--ISERROR(FIND(MID($O125&amp;REPT("a",60),ROW($A$1:$A$60),1),"ABCDEFGHIJKLMNOPQRSTUVWXYZabcdefghijklmnopqrstuvwxyzČĆĐŠŽčćđšž -'")))=0,0,1)&gt;0,"Ime sadrži znakove koji nisu slova",IF(COUNTA($G125,$J125,$M125,$P125)&lt;&gt;COUNTA($F125,$I125,$L125,$O125),"Nedostaje pol za nekog od članova",IF(COUNTA($F125,$I125,$L125,$O125)&lt;VLOOKUP($A125,ekipe,2,FALSE),"Ekipa mora imati najmanje "&amp;VLOOKUP($A125,ekipe,2,FALSE)&amp;" člana",IF(COUNTA($F125,$I125,$L125,$O125)&gt;VLOOKUP($A125,ekipe,3,FALSE),"Ekipa može imati najviše "&amp;VLOOKUP($A125,ekipe,3,FALSE)&amp;" člana",IF($B125="","Nedostaje vrsta ekipe","prijava je kompletna")))))))))))</f>
        <v/>
      </c>
      <c r="R125">
        <f>IF($C125="","sve_ekipne","tdisc_"&amp;$C125)</f>
        <v/>
      </c>
    </row>
    <row r="126" spans="1:18">
      <c r="A126" s="5"/>
      <c r="B126" s="5"/>
      <c r="C126" s="7">
        <f>IF($E126="","",LOOKUP($E126,INDEX(grupe,0,1),INDEX(grupe,0,2)))</f>
        <v/>
      </c>
      <c r="D126" s="7">
        <f>IF($C126="","",VLOOKUP($C126,INDEX(grupe,0,2):INDEX(grupe,0,3),2,FALSE))</f>
        <v/>
      </c>
      <c r="E126" s="5"/>
      <c r="F126" s="5"/>
      <c r="G126" s="5"/>
      <c r="H126" s="5"/>
      <c r="I126" s="5"/>
      <c r="J126" s="5"/>
      <c r="K126" s="5"/>
      <c r="L126" s="5"/>
      <c r="M126" s="5"/>
      <c r="N126" s="5"/>
      <c r="O126" s="5"/>
      <c r="P126" s="5"/>
      <c r="Q126" s="8">
        <f>IF(COUNTA($A126:$B126,$E126,$H126,$K126,$N126,$F126,$I126,$L126,$O126)=0,"",IF($A126="","Nedostaje disciplina",IF($E126="","Nedostaje godište prvog člana",IF($C126="","Godište nije obuhvaćeno uzrasnom tabelom",IF(COUNTIF(INDIRECT("tdisc_"&amp;$C126),$A126)=0,"Disciplina nije moguća za uzrast "&amp;$C126,IF(IF($E126="",0,IF(LOOKUP($E126,INDEX(grupe,0,1),INDEX(grupe,0,2))=$C126,0,1))+IF($H126="",0,IF(LOOKUP($H126,INDEX(grupe,0,1),INDEX(grupe,0,2))=$C126,0,1))+IF($K126="",0,IF(LOOKUP($K126,INDEX(grupe,0,1),INDEX(grupe,0,2))=$C126,0,1))+IF($N126="",0,IF(LOOKUP($N126,INDEX(grupe,0,1),INDEX(grupe,0,2))=$C126,0,1))&gt;0,"Članovi ekipe nisu iz iste uzrasne grupe",IF(COUNTA($F126,$I126,$L126,$O126)&lt;&gt;COUNTA($E126,$H126,$K126,$N126),"Za svakog člana potrebni su i godište i ime",IF(IF(SUMPRODUCT(--ISERROR(FIND(MID($F126&amp;REPT("a",60),ROW($A$1:$A$60),1),"ABCDEFGHIJKLMNOPQRSTUVWXYZabcdefghijklmnopqrstuvwxyzČĆĐŠŽčćđšž -'")))=0,0,1)+IF(SUMPRODUCT(--ISERROR(FIND(MID($I126&amp;REPT("a",60),ROW($A$1:$A$60),1),"ABCDEFGHIJKLMNOPQRSTUVWXYZabcdefghijklmnopqrstuvwxyzČĆĐŠŽčćđšž -'")))=0,0,1)+IF(SUMPRODUCT(--ISERROR(FIND(MID($L126&amp;REPT("a",60),ROW($A$1:$A$60),1),"ABCDEFGHIJKLMNOPQRSTUVWXYZabcdefghijklmnopqrstuvwxyzČĆĐŠŽčćđšž -'")))=0,0,1)+IF(SUMPRODUCT(--ISERROR(FIND(MID($O126&amp;REPT("a",60),ROW($A$1:$A$60),1),"ABCDEFGHIJKLMNOPQRSTUVWXYZabcdefghijklmnopqrstuvwxyzČĆĐŠŽčćđšž -'")))=0,0,1)&gt;0,"Ime sadrži znakove koji nisu slova",IF(COUNTA($G126,$J126,$M126,$P126)&lt;&gt;COUNTA($F126,$I126,$L126,$O126),"Nedostaje pol za nekog od članova",IF(COUNTA($F126,$I126,$L126,$O126)&lt;VLOOKUP($A126,ekipe,2,FALSE),"Ekipa mora imati najmanje "&amp;VLOOKUP($A126,ekipe,2,FALSE)&amp;" člana",IF(COUNTA($F126,$I126,$L126,$O126)&gt;VLOOKUP($A126,ekipe,3,FALSE),"Ekipa može imati najviše "&amp;VLOOKUP($A126,ekipe,3,FALSE)&amp;" člana",IF($B126="","Nedostaje vrsta ekipe","prijava je kompletna")))))))))))</f>
        <v/>
      </c>
      <c r="R126">
        <f>IF($C126="","sve_ekipne","tdisc_"&amp;$C126)</f>
        <v/>
      </c>
    </row>
    <row r="127" spans="1:18">
      <c r="A127" s="5"/>
      <c r="B127" s="5"/>
      <c r="C127" s="7">
        <f>IF($E127="","",LOOKUP($E127,INDEX(grupe,0,1),INDEX(grupe,0,2)))</f>
        <v/>
      </c>
      <c r="D127" s="7">
        <f>IF($C127="","",VLOOKUP($C127,INDEX(grupe,0,2):INDEX(grupe,0,3),2,FALSE))</f>
        <v/>
      </c>
      <c r="E127" s="5"/>
      <c r="F127" s="5"/>
      <c r="G127" s="5"/>
      <c r="H127" s="5"/>
      <c r="I127" s="5"/>
      <c r="J127" s="5"/>
      <c r="K127" s="5"/>
      <c r="L127" s="5"/>
      <c r="M127" s="5"/>
      <c r="N127" s="5"/>
      <c r="O127" s="5"/>
      <c r="P127" s="5"/>
      <c r="Q127" s="8">
        <f>IF(COUNTA($A127:$B127,$E127,$H127,$K127,$N127,$F127,$I127,$L127,$O127)=0,"",IF($A127="","Nedostaje disciplina",IF($E127="","Nedostaje godište prvog člana",IF($C127="","Godište nije obuhvaćeno uzrasnom tabelom",IF(COUNTIF(INDIRECT("tdisc_"&amp;$C127),$A127)=0,"Disciplina nije moguća za uzrast "&amp;$C127,IF(IF($E127="",0,IF(LOOKUP($E127,INDEX(grupe,0,1),INDEX(grupe,0,2))=$C127,0,1))+IF($H127="",0,IF(LOOKUP($H127,INDEX(grupe,0,1),INDEX(grupe,0,2))=$C127,0,1))+IF($K127="",0,IF(LOOKUP($K127,INDEX(grupe,0,1),INDEX(grupe,0,2))=$C127,0,1))+IF($N127="",0,IF(LOOKUP($N127,INDEX(grupe,0,1),INDEX(grupe,0,2))=$C127,0,1))&gt;0,"Članovi ekipe nisu iz iste uzrasne grupe",IF(COUNTA($F127,$I127,$L127,$O127)&lt;&gt;COUNTA($E127,$H127,$K127,$N127),"Za svakog člana potrebni su i godište i ime",IF(IF(SUMPRODUCT(--ISERROR(FIND(MID($F127&amp;REPT("a",60),ROW($A$1:$A$60),1),"ABCDEFGHIJKLMNOPQRSTUVWXYZabcdefghijklmnopqrstuvwxyzČĆĐŠŽčćđšž -'")))=0,0,1)+IF(SUMPRODUCT(--ISERROR(FIND(MID($I127&amp;REPT("a",60),ROW($A$1:$A$60),1),"ABCDEFGHIJKLMNOPQRSTUVWXYZabcdefghijklmnopqrstuvwxyzČĆĐŠŽčćđšž -'")))=0,0,1)+IF(SUMPRODUCT(--ISERROR(FIND(MID($L127&amp;REPT("a",60),ROW($A$1:$A$60),1),"ABCDEFGHIJKLMNOPQRSTUVWXYZabcdefghijklmnopqrstuvwxyzČĆĐŠŽčćđšž -'")))=0,0,1)+IF(SUMPRODUCT(--ISERROR(FIND(MID($O127&amp;REPT("a",60),ROW($A$1:$A$60),1),"ABCDEFGHIJKLMNOPQRSTUVWXYZabcdefghijklmnopqrstuvwxyzČĆĐŠŽčćđšž -'")))=0,0,1)&gt;0,"Ime sadrži znakove koji nisu slova",IF(COUNTA($G127,$J127,$M127,$P127)&lt;&gt;COUNTA($F127,$I127,$L127,$O127),"Nedostaje pol za nekog od članova",IF(COUNTA($F127,$I127,$L127,$O127)&lt;VLOOKUP($A127,ekipe,2,FALSE),"Ekipa mora imati najmanje "&amp;VLOOKUP($A127,ekipe,2,FALSE)&amp;" člana",IF(COUNTA($F127,$I127,$L127,$O127)&gt;VLOOKUP($A127,ekipe,3,FALSE),"Ekipa može imati najviše "&amp;VLOOKUP($A127,ekipe,3,FALSE)&amp;" člana",IF($B127="","Nedostaje vrsta ekipe","prijava je kompletna")))))))))))</f>
        <v/>
      </c>
      <c r="R127">
        <f>IF($C127="","sve_ekipne","tdisc_"&amp;$C127)</f>
        <v/>
      </c>
    </row>
    <row r="128" spans="1:18">
      <c r="A128" s="5"/>
      <c r="B128" s="5"/>
      <c r="C128" s="7">
        <f>IF($E128="","",LOOKUP($E128,INDEX(grupe,0,1),INDEX(grupe,0,2)))</f>
        <v/>
      </c>
      <c r="D128" s="7">
        <f>IF($C128="","",VLOOKUP($C128,INDEX(grupe,0,2):INDEX(grupe,0,3),2,FALSE))</f>
        <v/>
      </c>
      <c r="E128" s="5"/>
      <c r="F128" s="5"/>
      <c r="G128" s="5"/>
      <c r="H128" s="5"/>
      <c r="I128" s="5"/>
      <c r="J128" s="5"/>
      <c r="K128" s="5"/>
      <c r="L128" s="5"/>
      <c r="M128" s="5"/>
      <c r="N128" s="5"/>
      <c r="O128" s="5"/>
      <c r="P128" s="5"/>
      <c r="Q128" s="8">
        <f>IF(COUNTA($A128:$B128,$E128,$H128,$K128,$N128,$F128,$I128,$L128,$O128)=0,"",IF($A128="","Nedostaje disciplina",IF($E128="","Nedostaje godište prvog člana",IF($C128="","Godište nije obuhvaćeno uzrasnom tabelom",IF(COUNTIF(INDIRECT("tdisc_"&amp;$C128),$A128)=0,"Disciplina nije moguća za uzrast "&amp;$C128,IF(IF($E128="",0,IF(LOOKUP($E128,INDEX(grupe,0,1),INDEX(grupe,0,2))=$C128,0,1))+IF($H128="",0,IF(LOOKUP($H128,INDEX(grupe,0,1),INDEX(grupe,0,2))=$C128,0,1))+IF($K128="",0,IF(LOOKUP($K128,INDEX(grupe,0,1),INDEX(grupe,0,2))=$C128,0,1))+IF($N128="",0,IF(LOOKUP($N128,INDEX(grupe,0,1),INDEX(grupe,0,2))=$C128,0,1))&gt;0,"Članovi ekipe nisu iz iste uzrasne grupe",IF(COUNTA($F128,$I128,$L128,$O128)&lt;&gt;COUNTA($E128,$H128,$K128,$N128),"Za svakog člana potrebni su i godište i ime",IF(IF(SUMPRODUCT(--ISERROR(FIND(MID($F128&amp;REPT("a",60),ROW($A$1:$A$60),1),"ABCDEFGHIJKLMNOPQRSTUVWXYZabcdefghijklmnopqrstuvwxyzČĆĐŠŽčćđšž -'")))=0,0,1)+IF(SUMPRODUCT(--ISERROR(FIND(MID($I128&amp;REPT("a",60),ROW($A$1:$A$60),1),"ABCDEFGHIJKLMNOPQRSTUVWXYZabcdefghijklmnopqrstuvwxyzČĆĐŠŽčćđšž -'")))=0,0,1)+IF(SUMPRODUCT(--ISERROR(FIND(MID($L128&amp;REPT("a",60),ROW($A$1:$A$60),1),"ABCDEFGHIJKLMNOPQRSTUVWXYZabcdefghijklmnopqrstuvwxyzČĆĐŠŽčćđšž -'")))=0,0,1)+IF(SUMPRODUCT(--ISERROR(FIND(MID($O128&amp;REPT("a",60),ROW($A$1:$A$60),1),"ABCDEFGHIJKLMNOPQRSTUVWXYZabcdefghijklmnopqrstuvwxyzČĆĐŠŽčćđšž -'")))=0,0,1)&gt;0,"Ime sadrži znakove koji nisu slova",IF(COUNTA($G128,$J128,$M128,$P128)&lt;&gt;COUNTA($F128,$I128,$L128,$O128),"Nedostaje pol za nekog od članova",IF(COUNTA($F128,$I128,$L128,$O128)&lt;VLOOKUP($A128,ekipe,2,FALSE),"Ekipa mora imati najmanje "&amp;VLOOKUP($A128,ekipe,2,FALSE)&amp;" člana",IF(COUNTA($F128,$I128,$L128,$O128)&gt;VLOOKUP($A128,ekipe,3,FALSE),"Ekipa može imati najviše "&amp;VLOOKUP($A128,ekipe,3,FALSE)&amp;" člana",IF($B128="","Nedostaje vrsta ekipe","prijava je kompletna")))))))))))</f>
        <v/>
      </c>
      <c r="R128">
        <f>IF($C128="","sve_ekipne","tdisc_"&amp;$C128)</f>
        <v/>
      </c>
    </row>
    <row r="129" spans="1:18">
      <c r="A129" s="5"/>
      <c r="B129" s="5"/>
      <c r="C129" s="7">
        <f>IF($E129="","",LOOKUP($E129,INDEX(grupe,0,1),INDEX(grupe,0,2)))</f>
        <v/>
      </c>
      <c r="D129" s="7">
        <f>IF($C129="","",VLOOKUP($C129,INDEX(grupe,0,2):INDEX(grupe,0,3),2,FALSE))</f>
        <v/>
      </c>
      <c r="E129" s="5"/>
      <c r="F129" s="5"/>
      <c r="G129" s="5"/>
      <c r="H129" s="5"/>
      <c r="I129" s="5"/>
      <c r="J129" s="5"/>
      <c r="K129" s="5"/>
      <c r="L129" s="5"/>
      <c r="M129" s="5"/>
      <c r="N129" s="5"/>
      <c r="O129" s="5"/>
      <c r="P129" s="5"/>
      <c r="Q129" s="8">
        <f>IF(COUNTA($A129:$B129,$E129,$H129,$K129,$N129,$F129,$I129,$L129,$O129)=0,"",IF($A129="","Nedostaje disciplina",IF($E129="","Nedostaje godište prvog člana",IF($C129="","Godište nije obuhvaćeno uzrasnom tabelom",IF(COUNTIF(INDIRECT("tdisc_"&amp;$C129),$A129)=0,"Disciplina nije moguća za uzrast "&amp;$C129,IF(IF($E129="",0,IF(LOOKUP($E129,INDEX(grupe,0,1),INDEX(grupe,0,2))=$C129,0,1))+IF($H129="",0,IF(LOOKUP($H129,INDEX(grupe,0,1),INDEX(grupe,0,2))=$C129,0,1))+IF($K129="",0,IF(LOOKUP($K129,INDEX(grupe,0,1),INDEX(grupe,0,2))=$C129,0,1))+IF($N129="",0,IF(LOOKUP($N129,INDEX(grupe,0,1),INDEX(grupe,0,2))=$C129,0,1))&gt;0,"Članovi ekipe nisu iz iste uzrasne grupe",IF(COUNTA($F129,$I129,$L129,$O129)&lt;&gt;COUNTA($E129,$H129,$K129,$N129),"Za svakog člana potrebni su i godište i ime",IF(IF(SUMPRODUCT(--ISERROR(FIND(MID($F129&amp;REPT("a",60),ROW($A$1:$A$60),1),"ABCDEFGHIJKLMNOPQRSTUVWXYZabcdefghijklmnopqrstuvwxyzČĆĐŠŽčćđšž -'")))=0,0,1)+IF(SUMPRODUCT(--ISERROR(FIND(MID($I129&amp;REPT("a",60),ROW($A$1:$A$60),1),"ABCDEFGHIJKLMNOPQRSTUVWXYZabcdefghijklmnopqrstuvwxyzČĆĐŠŽčćđšž -'")))=0,0,1)+IF(SUMPRODUCT(--ISERROR(FIND(MID($L129&amp;REPT("a",60),ROW($A$1:$A$60),1),"ABCDEFGHIJKLMNOPQRSTUVWXYZabcdefghijklmnopqrstuvwxyzČĆĐŠŽčćđšž -'")))=0,0,1)+IF(SUMPRODUCT(--ISERROR(FIND(MID($O129&amp;REPT("a",60),ROW($A$1:$A$60),1),"ABCDEFGHIJKLMNOPQRSTUVWXYZabcdefghijklmnopqrstuvwxyzČĆĐŠŽčćđšž -'")))=0,0,1)&gt;0,"Ime sadrži znakove koji nisu slova",IF(COUNTA($G129,$J129,$M129,$P129)&lt;&gt;COUNTA($F129,$I129,$L129,$O129),"Nedostaje pol za nekog od članova",IF(COUNTA($F129,$I129,$L129,$O129)&lt;VLOOKUP($A129,ekipe,2,FALSE),"Ekipa mora imati najmanje "&amp;VLOOKUP($A129,ekipe,2,FALSE)&amp;" člana",IF(COUNTA($F129,$I129,$L129,$O129)&gt;VLOOKUP($A129,ekipe,3,FALSE),"Ekipa može imati najviše "&amp;VLOOKUP($A129,ekipe,3,FALSE)&amp;" člana",IF($B129="","Nedostaje vrsta ekipe","prijava je kompletna")))))))))))</f>
        <v/>
      </c>
      <c r="R129">
        <f>IF($C129="","sve_ekipne","tdisc_"&amp;$C129)</f>
        <v/>
      </c>
    </row>
  </sheetData>
  <sheetProtection sheet="1" objects="1" scenarios="1" formatColumns="0" formatRows="0"/>
  <mergeCells count="1">
    <mergeCell ref="A3:Q3"/>
  </mergeCells>
  <dataValidations count="14">
    <dataValidation type="list" allowBlank="1" showInputMessage="1" showErrorMessage="1" errorTitle="Disciplina" error="Godište prvog člana unosi se pre discipline. Padajući meni nudi ekipne discipline koje su moguće u odnosu na uzrast." sqref="A10:A129">
      <formula1>INDIRECT($R10)</formula1>
    </dataValidation>
    <dataValidation type="list" allowBlank="1" showInputMessage="1" showErrorMessage="1" errorTitle="Vrsta ekipe" error="Vrsta ekipe: muškarci ili žene. Enbu se takmiči u muškom i mešovitom paru." sqref="B10:B129">
      <formula1>vrste</formula1>
    </dataValidation>
    <dataValidation type="list" allowBlank="1" showInputMessage="1" showErrorMessage="1" errorTitle="Godište" error="Godište se bira iz padajućeg menija." sqref="E10:E129">
      <formula1>godista</formula1>
    </dataValidation>
    <dataValidation type="list" allowBlank="1" showInputMessage="1" showErrorMessage="1" errorTitle="Pol" error="Pol se bira iz padajućeg menija." sqref="G10:G129">
      <formula1>polovi</formula1>
    </dataValidation>
    <dataValidation type="custom" allowBlank="1" showInputMessage="1" showErrorMessage="1" errorTitle="Ime i prezime" error="Polje prima isključivo slova, razmak, crticu i apostrof; cifre nisu dozvoljene." sqref="F10:F129">
      <formula1>AND(ISERROR(FIND("0",F10)),ISERROR(FIND("1",F10)),ISERROR(FIND("2",F10)),ISERROR(FIND("3",F10)),ISERROR(FIND("4",F10)),ISERROR(FIND("5",F10)),ISERROR(FIND("6",F10)),ISERROR(FIND("7",F10)),ISERROR(FIND("8",F10)),ISERROR(FIND("9",F10)))</formula1>
    </dataValidation>
    <dataValidation type="list" allowBlank="1" showInputMessage="1" showErrorMessage="1" errorTitle="Godište" error="Godište se bira iz padajućeg menija." sqref="H10:H129">
      <formula1>godista</formula1>
    </dataValidation>
    <dataValidation type="list" allowBlank="1" showInputMessage="1" showErrorMessage="1" errorTitle="Pol" error="Pol se bira iz padajućeg menija." sqref="J10:J129">
      <formula1>polovi</formula1>
    </dataValidation>
    <dataValidation type="custom" allowBlank="1" showInputMessage="1" showErrorMessage="1" errorTitle="Ime i prezime" error="Polje prima isključivo slova, razmak, crticu i apostrof; cifre nisu dozvoljene." sqref="I10:I129">
      <formula1>AND(ISERROR(FIND("0",I10)),ISERROR(FIND("1",I10)),ISERROR(FIND("2",I10)),ISERROR(FIND("3",I10)),ISERROR(FIND("4",I10)),ISERROR(FIND("5",I10)),ISERROR(FIND("6",I10)),ISERROR(FIND("7",I10)),ISERROR(FIND("8",I10)),ISERROR(FIND("9",I10)))</formula1>
    </dataValidation>
    <dataValidation type="list" allowBlank="1" showInputMessage="1" showErrorMessage="1" errorTitle="Godište" error="Godište se bira iz padajućeg menija." sqref="K10:K129">
      <formula1>godista</formula1>
    </dataValidation>
    <dataValidation type="list" allowBlank="1" showInputMessage="1" showErrorMessage="1" errorTitle="Pol" error="Pol se bira iz padajućeg menija." sqref="M10:M129">
      <formula1>polovi</formula1>
    </dataValidation>
    <dataValidation type="custom" allowBlank="1" showInputMessage="1" showErrorMessage="1" errorTitle="Ime i prezime" error="Polje prima isključivo slova, razmak, crticu i apostrof; cifre nisu dozvoljene." sqref="L10:L129">
      <formula1>AND(ISERROR(FIND("0",L10)),ISERROR(FIND("1",L10)),ISERROR(FIND("2",L10)),ISERROR(FIND("3",L10)),ISERROR(FIND("4",L10)),ISERROR(FIND("5",L10)),ISERROR(FIND("6",L10)),ISERROR(FIND("7",L10)),ISERROR(FIND("8",L10)),ISERROR(FIND("9",L10)))</formula1>
    </dataValidation>
    <dataValidation type="list" allowBlank="1" showInputMessage="1" showErrorMessage="1" errorTitle="Godište" error="Godište se bira iz padajućeg menija." sqref="N10:N129">
      <formula1>godista</formula1>
    </dataValidation>
    <dataValidation type="list" allowBlank="1" showInputMessage="1" showErrorMessage="1" errorTitle="Pol" error="Pol se bira iz padajućeg menija." sqref="P10:P129">
      <formula1>polovi</formula1>
    </dataValidation>
    <dataValidation type="custom" allowBlank="1" showInputMessage="1" showErrorMessage="1" errorTitle="Ime i prezime" error="Polje prima isključivo slova, razmak, crticu i apostrof; cifre nisu dozvoljene." sqref="O10:O129">
      <formula1>AND(ISERROR(FIND("0",O10)),ISERROR(FIND("1",O10)),ISERROR(FIND("2",O10)),ISERROR(FIND("3",O10)),ISERROR(FIND("4",O10)),ISERROR(FIND("5",O10)),ISERROR(FIND("6",O10)),ISERROR(FIND("7",O10)),ISERROR(FIND("8",O10)),ISERROR(FIND("9",O10)))</formula1>
    </dataValidation>
  </dataValidations>
  <pageMargins left="0.7" right="0.7" top="0.75" bottom="0.75" header="0.3" footer="0.3"/>
  <pageSetup fitToHeight="0" orientation="landscape"/>
</worksheet>
</file>

<file path=xl/worksheets/sheet3.xml><?xml version="1.0" encoding="utf-8"?>
<worksheet xmlns="http://schemas.openxmlformats.org/spreadsheetml/2006/main" xmlns:r="http://schemas.openxmlformats.org/officeDocument/2006/relationships">
  <dimension ref="A1:BB101"/>
  <sheetViews>
    <sheetView workbookViewId="0"/>
  </sheetViews>
  <sheetFormatPr defaultRowHeight="15"/>
  <sheetData>
    <row r="1" spans="1:54">
      <c r="A1" t="s">
        <v>43</v>
      </c>
      <c r="B1" t="s">
        <v>44</v>
      </c>
      <c r="C1" t="s">
        <v>45</v>
      </c>
      <c r="E1" t="s">
        <v>66</v>
      </c>
      <c r="F1" t="s">
        <v>67</v>
      </c>
      <c r="G1" t="s">
        <v>75</v>
      </c>
      <c r="H1" t="s">
        <v>78</v>
      </c>
      <c r="I1" t="s">
        <v>92</v>
      </c>
      <c r="J1" t="s">
        <v>99</v>
      </c>
      <c r="K1" t="s">
        <v>131</v>
      </c>
      <c r="L1" t="s">
        <v>132</v>
      </c>
      <c r="M1" t="s">
        <v>133</v>
      </c>
      <c r="N1" t="s">
        <v>134</v>
      </c>
      <c r="O1" t="s">
        <v>135</v>
      </c>
      <c r="P1" t="s">
        <v>136</v>
      </c>
      <c r="Q1" t="s">
        <v>137</v>
      </c>
      <c r="R1" t="s">
        <v>138</v>
      </c>
      <c r="S1" t="s">
        <v>139</v>
      </c>
      <c r="T1" t="s">
        <v>140</v>
      </c>
      <c r="U1" t="s">
        <v>141</v>
      </c>
      <c r="V1" t="s">
        <v>142</v>
      </c>
      <c r="W1" t="s">
        <v>143</v>
      </c>
      <c r="X1" t="s">
        <v>144</v>
      </c>
      <c r="Y1" t="s">
        <v>145</v>
      </c>
      <c r="Z1" t="s">
        <v>146</v>
      </c>
      <c r="AA1" t="s">
        <v>147</v>
      </c>
      <c r="AB1" t="s">
        <v>148</v>
      </c>
      <c r="AC1" t="s">
        <v>149</v>
      </c>
      <c r="AD1" t="s">
        <v>150</v>
      </c>
      <c r="AE1" t="s">
        <v>151</v>
      </c>
      <c r="AF1" t="s">
        <v>152</v>
      </c>
      <c r="AG1" t="s">
        <v>153</v>
      </c>
      <c r="AH1" t="s">
        <v>154</v>
      </c>
      <c r="AI1" t="s">
        <v>155</v>
      </c>
      <c r="AJ1" t="s">
        <v>156</v>
      </c>
      <c r="AK1" t="s">
        <v>157</v>
      </c>
      <c r="AL1" t="s">
        <v>158</v>
      </c>
      <c r="AM1" t="s">
        <v>159</v>
      </c>
      <c r="AN1" t="s">
        <v>160</v>
      </c>
      <c r="AO1" t="s">
        <v>161</v>
      </c>
      <c r="AP1" t="s">
        <v>162</v>
      </c>
      <c r="AQ1" t="s">
        <v>163</v>
      </c>
      <c r="AR1" t="s">
        <v>164</v>
      </c>
      <c r="AS1" t="s">
        <v>165</v>
      </c>
      <c r="AT1" t="s">
        <v>166</v>
      </c>
      <c r="AU1" t="s">
        <v>167</v>
      </c>
      <c r="AV1" t="s">
        <v>168</v>
      </c>
      <c r="AW1" t="s">
        <v>169</v>
      </c>
      <c r="AX1" t="s">
        <v>170</v>
      </c>
      <c r="AY1" t="s">
        <v>171</v>
      </c>
      <c r="AZ1" t="s">
        <v>172</v>
      </c>
      <c r="BA1" t="s">
        <v>173</v>
      </c>
      <c r="BB1" t="s">
        <v>174</v>
      </c>
    </row>
    <row r="2" spans="1:54">
      <c r="A2">
        <v>1906</v>
      </c>
      <c r="B2" t="s">
        <v>46</v>
      </c>
      <c r="C2" t="s">
        <v>47</v>
      </c>
      <c r="E2">
        <v>2026</v>
      </c>
      <c r="F2" t="s">
        <v>68</v>
      </c>
      <c r="G2" t="s">
        <v>76</v>
      </c>
      <c r="H2" t="s">
        <v>79</v>
      </c>
      <c r="I2" t="s">
        <v>93</v>
      </c>
      <c r="J2" t="s">
        <v>100</v>
      </c>
      <c r="K2" t="s">
        <v>79</v>
      </c>
      <c r="L2" t="s">
        <v>94</v>
      </c>
      <c r="M2" t="s">
        <v>100</v>
      </c>
      <c r="N2" t="s">
        <v>100</v>
      </c>
      <c r="O2" t="s">
        <v>79</v>
      </c>
      <c r="P2" t="s">
        <v>94</v>
      </c>
      <c r="Q2" t="s">
        <v>103</v>
      </c>
      <c r="R2" t="s">
        <v>103</v>
      </c>
      <c r="S2" t="s">
        <v>79</v>
      </c>
      <c r="T2" t="s">
        <v>93</v>
      </c>
      <c r="U2" t="s">
        <v>103</v>
      </c>
      <c r="V2" t="s">
        <v>107</v>
      </c>
      <c r="W2" t="s">
        <v>79</v>
      </c>
      <c r="X2" t="s">
        <v>93</v>
      </c>
      <c r="Y2" t="s">
        <v>105</v>
      </c>
      <c r="Z2" t="s">
        <v>108</v>
      </c>
      <c r="AA2" t="s">
        <v>79</v>
      </c>
      <c r="AB2" t="s">
        <v>94</v>
      </c>
      <c r="AC2" t="s">
        <v>114</v>
      </c>
      <c r="AD2" t="s">
        <v>117</v>
      </c>
      <c r="AE2" t="s">
        <v>79</v>
      </c>
      <c r="AF2" t="s">
        <v>94</v>
      </c>
      <c r="AG2" t="s">
        <v>120</v>
      </c>
      <c r="AH2" t="s">
        <v>112</v>
      </c>
      <c r="AI2" t="s">
        <v>79</v>
      </c>
      <c r="AJ2" t="s">
        <v>94</v>
      </c>
      <c r="AK2" t="s">
        <v>125</v>
      </c>
      <c r="AL2" t="s">
        <v>128</v>
      </c>
      <c r="AM2" t="s">
        <v>79</v>
      </c>
      <c r="AN2" t="s">
        <v>94</v>
      </c>
      <c r="AO2" t="s">
        <v>130</v>
      </c>
      <c r="AP2" t="s">
        <v>130</v>
      </c>
      <c r="AQ2" t="s">
        <v>79</v>
      </c>
      <c r="AR2" t="s">
        <v>94</v>
      </c>
      <c r="AS2" t="s">
        <v>130</v>
      </c>
      <c r="AT2" t="s">
        <v>130</v>
      </c>
      <c r="AU2" t="s">
        <v>79</v>
      </c>
      <c r="AW2" t="s">
        <v>130</v>
      </c>
      <c r="AX2" t="s">
        <v>130</v>
      </c>
      <c r="AY2" t="s">
        <v>93</v>
      </c>
      <c r="AZ2">
        <v>3</v>
      </c>
      <c r="BA2">
        <v>4</v>
      </c>
      <c r="BB2" t="s">
        <v>175</v>
      </c>
    </row>
    <row r="3" spans="1:54">
      <c r="A3">
        <v>1977</v>
      </c>
      <c r="B3" t="s">
        <v>48</v>
      </c>
      <c r="C3" t="s">
        <v>49</v>
      </c>
      <c r="E3">
        <v>2025</v>
      </c>
      <c r="F3" t="s">
        <v>69</v>
      </c>
      <c r="G3" t="s">
        <v>77</v>
      </c>
      <c r="H3" t="s">
        <v>80</v>
      </c>
      <c r="I3" t="s">
        <v>94</v>
      </c>
      <c r="J3" t="s">
        <v>101</v>
      </c>
      <c r="K3" t="s">
        <v>80</v>
      </c>
      <c r="L3" t="s">
        <v>97</v>
      </c>
      <c r="M3" t="s">
        <v>101</v>
      </c>
      <c r="N3" t="s">
        <v>103</v>
      </c>
      <c r="O3" t="s">
        <v>81</v>
      </c>
      <c r="P3" t="s">
        <v>97</v>
      </c>
      <c r="Q3" t="s">
        <v>101</v>
      </c>
      <c r="R3" t="s">
        <v>101</v>
      </c>
      <c r="S3" t="s">
        <v>81</v>
      </c>
      <c r="T3" t="s">
        <v>94</v>
      </c>
      <c r="U3" t="s">
        <v>105</v>
      </c>
      <c r="V3" t="s">
        <v>108</v>
      </c>
      <c r="W3" t="s">
        <v>81</v>
      </c>
      <c r="X3" t="s">
        <v>94</v>
      </c>
      <c r="Y3" t="s">
        <v>110</v>
      </c>
      <c r="Z3" t="s">
        <v>112</v>
      </c>
      <c r="AA3" t="s">
        <v>84</v>
      </c>
      <c r="AB3" t="s">
        <v>95</v>
      </c>
      <c r="AC3" t="s">
        <v>115</v>
      </c>
      <c r="AD3" t="s">
        <v>118</v>
      </c>
      <c r="AE3" t="s">
        <v>84</v>
      </c>
      <c r="AF3" t="s">
        <v>95</v>
      </c>
      <c r="AG3" t="s">
        <v>121</v>
      </c>
      <c r="AH3" t="s">
        <v>123</v>
      </c>
      <c r="AI3" t="s">
        <v>85</v>
      </c>
      <c r="AJ3" t="s">
        <v>96</v>
      </c>
      <c r="AK3" t="s">
        <v>126</v>
      </c>
      <c r="AL3" t="s">
        <v>120</v>
      </c>
      <c r="AM3" t="s">
        <v>85</v>
      </c>
      <c r="AN3" t="s">
        <v>96</v>
      </c>
      <c r="AQ3" t="s">
        <v>85</v>
      </c>
      <c r="AR3" t="s">
        <v>96</v>
      </c>
      <c r="AU3" t="s">
        <v>85</v>
      </c>
      <c r="AY3" t="s">
        <v>94</v>
      </c>
      <c r="AZ3">
        <v>2</v>
      </c>
      <c r="BA3">
        <v>2</v>
      </c>
      <c r="BB3" t="s">
        <v>176</v>
      </c>
    </row>
    <row r="4" spans="1:54">
      <c r="A4">
        <v>1992</v>
      </c>
      <c r="B4" t="s">
        <v>50</v>
      </c>
      <c r="C4" t="s">
        <v>51</v>
      </c>
      <c r="E4">
        <v>2024</v>
      </c>
      <c r="F4" t="s">
        <v>70</v>
      </c>
      <c r="H4" t="s">
        <v>81</v>
      </c>
      <c r="I4" t="s">
        <v>95</v>
      </c>
      <c r="J4" t="s">
        <v>102</v>
      </c>
      <c r="K4" t="s">
        <v>81</v>
      </c>
      <c r="L4" t="s">
        <v>98</v>
      </c>
      <c r="M4" t="s">
        <v>102</v>
      </c>
      <c r="N4" t="s">
        <v>104</v>
      </c>
      <c r="O4" t="s">
        <v>82</v>
      </c>
      <c r="P4" t="s">
        <v>98</v>
      </c>
      <c r="Q4" t="s">
        <v>102</v>
      </c>
      <c r="R4" t="s">
        <v>102</v>
      </c>
      <c r="S4" t="s">
        <v>83</v>
      </c>
      <c r="T4" t="s">
        <v>97</v>
      </c>
      <c r="U4" t="s">
        <v>106</v>
      </c>
      <c r="V4" t="s">
        <v>109</v>
      </c>
      <c r="W4" t="s">
        <v>83</v>
      </c>
      <c r="X4" t="s">
        <v>97</v>
      </c>
      <c r="Y4" t="s">
        <v>111</v>
      </c>
      <c r="Z4" t="s">
        <v>113</v>
      </c>
      <c r="AA4" t="s">
        <v>85</v>
      </c>
      <c r="AB4" t="s">
        <v>97</v>
      </c>
      <c r="AC4" t="s">
        <v>116</v>
      </c>
      <c r="AD4" t="s">
        <v>119</v>
      </c>
      <c r="AE4" t="s">
        <v>85</v>
      </c>
      <c r="AF4" t="s">
        <v>97</v>
      </c>
      <c r="AG4" t="s">
        <v>122</v>
      </c>
      <c r="AH4" t="s">
        <v>124</v>
      </c>
      <c r="AI4" t="s">
        <v>86</v>
      </c>
      <c r="AJ4" t="s">
        <v>97</v>
      </c>
      <c r="AK4" t="s">
        <v>127</v>
      </c>
      <c r="AL4" t="s">
        <v>129</v>
      </c>
      <c r="AM4" t="s">
        <v>86</v>
      </c>
      <c r="AN4" t="s">
        <v>97</v>
      </c>
      <c r="AQ4" t="s">
        <v>86</v>
      </c>
      <c r="AR4" t="s">
        <v>97</v>
      </c>
      <c r="AU4" t="s">
        <v>86</v>
      </c>
      <c r="AY4" t="s">
        <v>95</v>
      </c>
      <c r="AZ4">
        <v>3</v>
      </c>
      <c r="BA4">
        <v>4</v>
      </c>
      <c r="BB4" t="s">
        <v>177</v>
      </c>
    </row>
    <row r="5" spans="1:54">
      <c r="A5">
        <v>2006</v>
      </c>
      <c r="B5" t="s">
        <v>52</v>
      </c>
      <c r="C5" t="s">
        <v>53</v>
      </c>
      <c r="E5">
        <v>2023</v>
      </c>
      <c r="F5" t="s">
        <v>71</v>
      </c>
      <c r="H5" t="s">
        <v>82</v>
      </c>
      <c r="I5" t="s">
        <v>96</v>
      </c>
      <c r="J5" t="s">
        <v>103</v>
      </c>
      <c r="K5" t="s">
        <v>82</v>
      </c>
      <c r="O5" t="s">
        <v>90</v>
      </c>
      <c r="S5" t="s">
        <v>90</v>
      </c>
      <c r="T5" t="s">
        <v>98</v>
      </c>
      <c r="W5" t="s">
        <v>90</v>
      </c>
      <c r="X5" t="s">
        <v>98</v>
      </c>
      <c r="AA5" t="s">
        <v>90</v>
      </c>
      <c r="AB5" t="s">
        <v>98</v>
      </c>
      <c r="AE5" t="s">
        <v>89</v>
      </c>
      <c r="AF5" t="s">
        <v>98</v>
      </c>
      <c r="AI5" t="s">
        <v>88</v>
      </c>
      <c r="AJ5" t="s">
        <v>98</v>
      </c>
      <c r="AM5" t="s">
        <v>87</v>
      </c>
      <c r="AN5" t="s">
        <v>98</v>
      </c>
      <c r="AQ5" t="s">
        <v>87</v>
      </c>
      <c r="AR5" t="s">
        <v>98</v>
      </c>
      <c r="AU5" t="s">
        <v>87</v>
      </c>
      <c r="AY5" t="s">
        <v>96</v>
      </c>
      <c r="AZ5">
        <v>3</v>
      </c>
      <c r="BA5">
        <v>4</v>
      </c>
      <c r="BB5" t="s">
        <v>178</v>
      </c>
    </row>
    <row r="6" spans="1:54">
      <c r="A6">
        <v>2008</v>
      </c>
      <c r="B6" t="s">
        <v>54</v>
      </c>
      <c r="C6" t="s">
        <v>55</v>
      </c>
      <c r="E6">
        <v>2022</v>
      </c>
      <c r="F6" t="s">
        <v>72</v>
      </c>
      <c r="H6" t="s">
        <v>83</v>
      </c>
      <c r="I6" t="s">
        <v>97</v>
      </c>
      <c r="J6" t="s">
        <v>104</v>
      </c>
      <c r="K6" t="s">
        <v>90</v>
      </c>
      <c r="O6" t="s">
        <v>91</v>
      </c>
      <c r="S6" t="s">
        <v>91</v>
      </c>
      <c r="W6" t="s">
        <v>91</v>
      </c>
      <c r="AA6" t="s">
        <v>91</v>
      </c>
      <c r="AE6" t="s">
        <v>90</v>
      </c>
      <c r="AI6" t="s">
        <v>89</v>
      </c>
      <c r="AM6" t="s">
        <v>88</v>
      </c>
      <c r="AQ6" t="s">
        <v>88</v>
      </c>
      <c r="AU6" t="s">
        <v>88</v>
      </c>
      <c r="AY6" t="s">
        <v>97</v>
      </c>
      <c r="AZ6">
        <v>3</v>
      </c>
      <c r="BA6">
        <v>3</v>
      </c>
    </row>
    <row r="7" spans="1:54">
      <c r="A7">
        <v>2011</v>
      </c>
      <c r="B7" t="s">
        <v>56</v>
      </c>
      <c r="C7" t="s">
        <v>57</v>
      </c>
      <c r="E7">
        <v>2021</v>
      </c>
      <c r="F7" t="s">
        <v>73</v>
      </c>
      <c r="H7" t="s">
        <v>84</v>
      </c>
      <c r="I7" t="s">
        <v>98</v>
      </c>
      <c r="J7" t="s">
        <v>105</v>
      </c>
      <c r="K7" t="s">
        <v>91</v>
      </c>
      <c r="AE7" t="s">
        <v>91</v>
      </c>
      <c r="AI7" t="s">
        <v>90</v>
      </c>
      <c r="AM7" t="s">
        <v>89</v>
      </c>
      <c r="AQ7" t="s">
        <v>89</v>
      </c>
      <c r="AU7" t="s">
        <v>89</v>
      </c>
      <c r="AY7" t="s">
        <v>98</v>
      </c>
      <c r="AZ7">
        <v>3</v>
      </c>
      <c r="BA7">
        <v>4</v>
      </c>
    </row>
    <row r="8" spans="1:54">
      <c r="A8">
        <v>2013</v>
      </c>
      <c r="B8" t="s">
        <v>58</v>
      </c>
      <c r="C8" t="s">
        <v>59</v>
      </c>
      <c r="E8">
        <v>2020</v>
      </c>
      <c r="F8" t="s">
        <v>74</v>
      </c>
      <c r="H8" t="s">
        <v>85</v>
      </c>
      <c r="J8" t="s">
        <v>106</v>
      </c>
      <c r="AI8" t="s">
        <v>91</v>
      </c>
      <c r="AM8" t="s">
        <v>90</v>
      </c>
      <c r="AQ8" t="s">
        <v>90</v>
      </c>
      <c r="AU8" t="s">
        <v>90</v>
      </c>
    </row>
    <row r="9" spans="1:54">
      <c r="A9">
        <v>2015</v>
      </c>
      <c r="B9" t="s">
        <v>60</v>
      </c>
      <c r="C9" t="s">
        <v>61</v>
      </c>
      <c r="E9">
        <v>2019</v>
      </c>
      <c r="H9" t="s">
        <v>86</v>
      </c>
      <c r="J9" t="s">
        <v>107</v>
      </c>
      <c r="AM9" t="s">
        <v>91</v>
      </c>
      <c r="AQ9" t="s">
        <v>91</v>
      </c>
      <c r="AU9" t="s">
        <v>91</v>
      </c>
    </row>
    <row r="10" spans="1:54">
      <c r="A10">
        <v>2017</v>
      </c>
      <c r="B10" t="s">
        <v>62</v>
      </c>
      <c r="C10" t="s">
        <v>63</v>
      </c>
      <c r="E10">
        <v>2018</v>
      </c>
      <c r="H10" t="s">
        <v>87</v>
      </c>
      <c r="J10" t="s">
        <v>108</v>
      </c>
    </row>
    <row r="11" spans="1:54">
      <c r="A11">
        <v>2019</v>
      </c>
      <c r="B11" t="s">
        <v>64</v>
      </c>
      <c r="C11" t="s">
        <v>65</v>
      </c>
      <c r="E11">
        <v>2017</v>
      </c>
      <c r="H11" t="s">
        <v>88</v>
      </c>
      <c r="J11" t="s">
        <v>109</v>
      </c>
    </row>
    <row r="12" spans="1:54">
      <c r="E12">
        <v>2016</v>
      </c>
      <c r="H12" t="s">
        <v>89</v>
      </c>
      <c r="J12" t="s">
        <v>110</v>
      </c>
    </row>
    <row r="13" spans="1:54">
      <c r="E13">
        <v>2015</v>
      </c>
      <c r="H13" t="s">
        <v>90</v>
      </c>
      <c r="J13" t="s">
        <v>111</v>
      </c>
    </row>
    <row r="14" spans="1:54">
      <c r="E14">
        <v>2014</v>
      </c>
      <c r="H14" t="s">
        <v>91</v>
      </c>
      <c r="J14" t="s">
        <v>112</v>
      </c>
    </row>
    <row r="15" spans="1:54">
      <c r="E15">
        <v>2013</v>
      </c>
      <c r="J15" t="s">
        <v>113</v>
      </c>
    </row>
    <row r="16" spans="1:54">
      <c r="E16">
        <v>2012</v>
      </c>
      <c r="J16" t="s">
        <v>114</v>
      </c>
    </row>
    <row r="17" spans="5:10">
      <c r="E17">
        <v>2011</v>
      </c>
      <c r="J17" t="s">
        <v>115</v>
      </c>
    </row>
    <row r="18" spans="5:10">
      <c r="E18">
        <v>2010</v>
      </c>
      <c r="J18" t="s">
        <v>116</v>
      </c>
    </row>
    <row r="19" spans="5:10">
      <c r="E19">
        <v>2009</v>
      </c>
      <c r="J19" t="s">
        <v>117</v>
      </c>
    </row>
    <row r="20" spans="5:10">
      <c r="E20">
        <v>2008</v>
      </c>
      <c r="J20" t="s">
        <v>118</v>
      </c>
    </row>
    <row r="21" spans="5:10">
      <c r="E21">
        <v>2007</v>
      </c>
      <c r="J21" t="s">
        <v>119</v>
      </c>
    </row>
    <row r="22" spans="5:10">
      <c r="E22">
        <v>2006</v>
      </c>
      <c r="J22" t="s">
        <v>120</v>
      </c>
    </row>
    <row r="23" spans="5:10">
      <c r="E23">
        <v>2005</v>
      </c>
      <c r="J23" t="s">
        <v>121</v>
      </c>
    </row>
    <row r="24" spans="5:10">
      <c r="E24">
        <v>2004</v>
      </c>
      <c r="J24" t="s">
        <v>122</v>
      </c>
    </row>
    <row r="25" spans="5:10">
      <c r="E25">
        <v>2003</v>
      </c>
      <c r="J25" t="s">
        <v>123</v>
      </c>
    </row>
    <row r="26" spans="5:10">
      <c r="E26">
        <v>2002</v>
      </c>
      <c r="J26" t="s">
        <v>124</v>
      </c>
    </row>
    <row r="27" spans="5:10">
      <c r="E27">
        <v>2001</v>
      </c>
      <c r="J27" t="s">
        <v>125</v>
      </c>
    </row>
    <row r="28" spans="5:10">
      <c r="E28">
        <v>2000</v>
      </c>
      <c r="J28" t="s">
        <v>126</v>
      </c>
    </row>
    <row r="29" spans="5:10">
      <c r="E29">
        <v>1999</v>
      </c>
      <c r="J29" t="s">
        <v>127</v>
      </c>
    </row>
    <row r="30" spans="5:10">
      <c r="E30">
        <v>1998</v>
      </c>
      <c r="J30" t="s">
        <v>128</v>
      </c>
    </row>
    <row r="31" spans="5:10">
      <c r="E31">
        <v>1997</v>
      </c>
      <c r="J31" t="s">
        <v>129</v>
      </c>
    </row>
    <row r="32" spans="5:10">
      <c r="E32">
        <v>1996</v>
      </c>
      <c r="J32" t="s">
        <v>130</v>
      </c>
    </row>
    <row r="33" spans="5:5">
      <c r="E33">
        <v>1995</v>
      </c>
    </row>
    <row r="34" spans="5:5">
      <c r="E34">
        <v>1994</v>
      </c>
    </row>
    <row r="35" spans="5:5">
      <c r="E35">
        <v>1993</v>
      </c>
    </row>
    <row r="36" spans="5:5">
      <c r="E36">
        <v>1992</v>
      </c>
    </row>
    <row r="37" spans="5:5">
      <c r="E37">
        <v>1991</v>
      </c>
    </row>
    <row r="38" spans="5:5">
      <c r="E38">
        <v>1990</v>
      </c>
    </row>
    <row r="39" spans="5:5">
      <c r="E39">
        <v>1989</v>
      </c>
    </row>
    <row r="40" spans="5:5">
      <c r="E40">
        <v>1988</v>
      </c>
    </row>
    <row r="41" spans="5:5">
      <c r="E41">
        <v>1987</v>
      </c>
    </row>
    <row r="42" spans="5:5">
      <c r="E42">
        <v>1986</v>
      </c>
    </row>
    <row r="43" spans="5:5">
      <c r="E43">
        <v>1985</v>
      </c>
    </row>
    <row r="44" spans="5:5">
      <c r="E44">
        <v>1984</v>
      </c>
    </row>
    <row r="45" spans="5:5">
      <c r="E45">
        <v>1983</v>
      </c>
    </row>
    <row r="46" spans="5:5">
      <c r="E46">
        <v>1982</v>
      </c>
    </row>
    <row r="47" spans="5:5">
      <c r="E47">
        <v>1981</v>
      </c>
    </row>
    <row r="48" spans="5:5">
      <c r="E48">
        <v>1980</v>
      </c>
    </row>
    <row r="49" spans="5:5">
      <c r="E49">
        <v>1979</v>
      </c>
    </row>
    <row r="50" spans="5:5">
      <c r="E50">
        <v>1978</v>
      </c>
    </row>
    <row r="51" spans="5:5">
      <c r="E51">
        <v>1977</v>
      </c>
    </row>
    <row r="52" spans="5:5">
      <c r="E52">
        <v>1976</v>
      </c>
    </row>
    <row r="53" spans="5:5">
      <c r="E53">
        <v>1975</v>
      </c>
    </row>
    <row r="54" spans="5:5">
      <c r="E54">
        <v>1974</v>
      </c>
    </row>
    <row r="55" spans="5:5">
      <c r="E55">
        <v>1973</v>
      </c>
    </row>
    <row r="56" spans="5:5">
      <c r="E56">
        <v>1972</v>
      </c>
    </row>
    <row r="57" spans="5:5">
      <c r="E57">
        <v>1971</v>
      </c>
    </row>
    <row r="58" spans="5:5">
      <c r="E58">
        <v>1970</v>
      </c>
    </row>
    <row r="59" spans="5:5">
      <c r="E59">
        <v>1969</v>
      </c>
    </row>
    <row r="60" spans="5:5">
      <c r="E60">
        <v>1968</v>
      </c>
    </row>
    <row r="61" spans="5:5">
      <c r="E61">
        <v>1967</v>
      </c>
    </row>
    <row r="62" spans="5:5">
      <c r="E62">
        <v>1966</v>
      </c>
    </row>
    <row r="63" spans="5:5">
      <c r="E63">
        <v>1965</v>
      </c>
    </row>
    <row r="64" spans="5:5">
      <c r="E64">
        <v>1964</v>
      </c>
    </row>
    <row r="65" spans="5:5">
      <c r="E65">
        <v>1963</v>
      </c>
    </row>
    <row r="66" spans="5:5">
      <c r="E66">
        <v>1962</v>
      </c>
    </row>
    <row r="67" spans="5:5">
      <c r="E67">
        <v>1961</v>
      </c>
    </row>
    <row r="68" spans="5:5">
      <c r="E68">
        <v>1960</v>
      </c>
    </row>
    <row r="69" spans="5:5">
      <c r="E69">
        <v>1959</v>
      </c>
    </row>
    <row r="70" spans="5:5">
      <c r="E70">
        <v>1958</v>
      </c>
    </row>
    <row r="71" spans="5:5">
      <c r="E71">
        <v>1957</v>
      </c>
    </row>
    <row r="72" spans="5:5">
      <c r="E72">
        <v>1956</v>
      </c>
    </row>
    <row r="73" spans="5:5">
      <c r="E73">
        <v>1955</v>
      </c>
    </row>
    <row r="74" spans="5:5">
      <c r="E74">
        <v>1954</v>
      </c>
    </row>
    <row r="75" spans="5:5">
      <c r="E75">
        <v>1953</v>
      </c>
    </row>
    <row r="76" spans="5:5">
      <c r="E76">
        <v>1952</v>
      </c>
    </row>
    <row r="77" spans="5:5">
      <c r="E77">
        <v>1951</v>
      </c>
    </row>
    <row r="78" spans="5:5">
      <c r="E78">
        <v>1950</v>
      </c>
    </row>
    <row r="79" spans="5:5">
      <c r="E79">
        <v>1949</v>
      </c>
    </row>
    <row r="80" spans="5:5">
      <c r="E80">
        <v>1948</v>
      </c>
    </row>
    <row r="81" spans="5:5">
      <c r="E81">
        <v>1947</v>
      </c>
    </row>
    <row r="82" spans="5:5">
      <c r="E82">
        <v>1946</v>
      </c>
    </row>
    <row r="83" spans="5:5">
      <c r="E83">
        <v>1945</v>
      </c>
    </row>
    <row r="84" spans="5:5">
      <c r="E84">
        <v>1944</v>
      </c>
    </row>
    <row r="85" spans="5:5">
      <c r="E85">
        <v>1943</v>
      </c>
    </row>
    <row r="86" spans="5:5">
      <c r="E86">
        <v>1942</v>
      </c>
    </row>
    <row r="87" spans="5:5">
      <c r="E87">
        <v>1941</v>
      </c>
    </row>
    <row r="88" spans="5:5">
      <c r="E88">
        <v>1940</v>
      </c>
    </row>
    <row r="89" spans="5:5">
      <c r="E89">
        <v>1939</v>
      </c>
    </row>
    <row r="90" spans="5:5">
      <c r="E90">
        <v>1938</v>
      </c>
    </row>
    <row r="91" spans="5:5">
      <c r="E91">
        <v>1937</v>
      </c>
    </row>
    <row r="92" spans="5:5">
      <c r="E92">
        <v>1936</v>
      </c>
    </row>
    <row r="93" spans="5:5">
      <c r="E93">
        <v>1935</v>
      </c>
    </row>
    <row r="94" spans="5:5">
      <c r="E94">
        <v>1934</v>
      </c>
    </row>
    <row r="95" spans="5:5">
      <c r="E95">
        <v>1933</v>
      </c>
    </row>
    <row r="96" spans="5:5">
      <c r="E96">
        <v>1932</v>
      </c>
    </row>
    <row r="97" spans="5:5">
      <c r="E97">
        <v>1931</v>
      </c>
    </row>
    <row r="98" spans="5:5">
      <c r="E98">
        <v>1930</v>
      </c>
    </row>
    <row r="99" spans="5:5">
      <c r="E99">
        <v>1929</v>
      </c>
    </row>
    <row r="100" spans="5:5">
      <c r="E100">
        <v>1928</v>
      </c>
    </row>
    <row r="101" spans="5:5">
      <c r="E101">
        <v>1927</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50</vt:i4>
      </vt:variant>
    </vt:vector>
  </HeadingPairs>
  <TitlesOfParts>
    <vt:vector size="53" baseType="lpstr">
      <vt:lpstr>Prijava</vt:lpstr>
      <vt:lpstr>Ekipno</vt:lpstr>
      <vt:lpstr>Pravilnik</vt:lpstr>
      <vt:lpstr>disc_A</vt:lpstr>
      <vt:lpstr>disc_B</vt:lpstr>
      <vt:lpstr>disc_C</vt:lpstr>
      <vt:lpstr>disc_D</vt:lpstr>
      <vt:lpstr>disc_E</vt:lpstr>
      <vt:lpstr>disc_F</vt:lpstr>
      <vt:lpstr>disc_G</vt:lpstr>
      <vt:lpstr>disc_H</vt:lpstr>
      <vt:lpstr>disc_I</vt:lpstr>
      <vt:lpstr>disc_J</vt:lpstr>
      <vt:lpstr>ekipe</vt:lpstr>
      <vt:lpstr>godista</vt:lpstr>
      <vt:lpstr>grupe</vt:lpstr>
      <vt:lpstr>kg_A_M</vt:lpstr>
      <vt:lpstr>kg_A_Z</vt:lpstr>
      <vt:lpstr>kg_B_M</vt:lpstr>
      <vt:lpstr>kg_B_Z</vt:lpstr>
      <vt:lpstr>kg_C_M</vt:lpstr>
      <vt:lpstr>kg_C_Z</vt:lpstr>
      <vt:lpstr>kg_D_M</vt:lpstr>
      <vt:lpstr>kg_D_Z</vt:lpstr>
      <vt:lpstr>kg_E_M</vt:lpstr>
      <vt:lpstr>kg_E_Z</vt:lpstr>
      <vt:lpstr>kg_F_M</vt:lpstr>
      <vt:lpstr>kg_F_Z</vt:lpstr>
      <vt:lpstr>kg_G_M</vt:lpstr>
      <vt:lpstr>kg_G_Z</vt:lpstr>
      <vt:lpstr>kg_H_M</vt:lpstr>
      <vt:lpstr>kg_H_Z</vt:lpstr>
      <vt:lpstr>kg_I_M</vt:lpstr>
      <vt:lpstr>kg_I_Z</vt:lpstr>
      <vt:lpstr>kg_J_M</vt:lpstr>
      <vt:lpstr>kg_J_Z</vt:lpstr>
      <vt:lpstr>pojasevi</vt:lpstr>
      <vt:lpstr>polovi</vt:lpstr>
      <vt:lpstr>Ekipno!Print_Titles</vt:lpstr>
      <vt:lpstr>Prijava!Print_Titles</vt:lpstr>
      <vt:lpstr>sve_discipline</vt:lpstr>
      <vt:lpstr>sve_ekipne</vt:lpstr>
      <vt:lpstr>sve_kilaze</vt:lpstr>
      <vt:lpstr>tdisc_A</vt:lpstr>
      <vt:lpstr>tdisc_B</vt:lpstr>
      <vt:lpstr>tdisc_C</vt:lpstr>
      <vt:lpstr>tdisc_D</vt:lpstr>
      <vt:lpstr>tdisc_E</vt:lpstr>
      <vt:lpstr>tdisc_F</vt:lpstr>
      <vt:lpstr>tdisc_G</vt:lpstr>
      <vt:lpstr>tdisc_H</vt:lpstr>
      <vt:lpstr>tdisc_I</vt:lpstr>
      <vt:lpstr>vrste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2026-08-25T08:08:30Z</dcterms:created>
  <dcterms:modified xsi:type="dcterms:W3CDTF">2026-08-25T08:08:30Z</dcterms:modified>
</cp:coreProperties>
</file>