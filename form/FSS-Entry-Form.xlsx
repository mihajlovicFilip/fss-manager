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ijava" sheetId="1" r:id="rId1"/>
    <sheet name="Ekipno" sheetId="2" r:id="rId2"/>
    <sheet name="Pravilnik" sheetId="3" state="hidden" r:id="rId3"/>
  </sheets>
  <definedNames>
    <definedName name="disc_A">Pravilnik!$K$2:$K$7</definedName>
    <definedName name="disc_B">Pravilnik!$O$2:$O$6</definedName>
    <definedName name="disc_C">Pravilnik!$S$2:$S$6</definedName>
    <definedName name="disc_D">Pravilnik!$W$2:$W$6</definedName>
    <definedName name="disc_E">Pravilnik!$AA$2:$AA$6</definedName>
    <definedName name="disc_F">Pravilnik!$AE$2:$AE$7</definedName>
    <definedName name="disc_G">Pravilnik!$AI$2:$AI$8</definedName>
    <definedName name="disc_H">Pravilnik!$AM$2:$AM$9</definedName>
    <definedName name="disc_I">Pravilnik!$AQ$2:$AQ$9</definedName>
    <definedName name="disc_J">Pravilnik!$AU$2:$AU$9</definedName>
    <definedName name="ekipe">Pravilnik!$AY$2:$BA$7</definedName>
    <definedName name="godista">Pravilnik!$E$2:$E$101</definedName>
    <definedName name="grupe">Pravilnik!$A$2:$C$11</definedName>
    <definedName name="kg_A_M">Pravilnik!$M$2:$M$4</definedName>
    <definedName name="kg_A_Z">Pravilnik!$N$2:$N$4</definedName>
    <definedName name="kg_B_M">Pravilnik!$Q$2:$Q$4</definedName>
    <definedName name="kg_B_Z">Pravilnik!$R$2:$R$4</definedName>
    <definedName name="kg_C_M">Pravilnik!$U$2:$U$4</definedName>
    <definedName name="kg_C_Z">Pravilnik!$V$2:$V$4</definedName>
    <definedName name="kg_D_M">Pravilnik!$Y$2:$Y$4</definedName>
    <definedName name="kg_D_Z">Pravilnik!$Z$2:$Z$4</definedName>
    <definedName name="kg_E_M">Pravilnik!$AC$2:$AC$4</definedName>
    <definedName name="kg_E_Z">Pravilnik!$AD$2:$AD$4</definedName>
    <definedName name="kg_F_M">Pravilnik!$AG$2:$AG$4</definedName>
    <definedName name="kg_F_Z">Pravilnik!$AH$2:$AH$4</definedName>
    <definedName name="kg_G_M">Pravilnik!$AK$2:$AK$4</definedName>
    <definedName name="kg_G_Z">Pravilnik!$AL$2:$AL$4</definedName>
    <definedName name="kg_H_M">Pravilnik!$AO$2:$AO$2</definedName>
    <definedName name="kg_H_Z">Pravilnik!$AP$2:$AP$2</definedName>
    <definedName name="kg_I_M">Pravilnik!$AS$2:$AS$2</definedName>
    <definedName name="kg_I_Z">Pravilnik!$AT$2:$AT$2</definedName>
    <definedName name="kg_J_M">Pravilnik!$AW$2:$AW$2</definedName>
    <definedName name="kg_J_Z">Pravilnik!$AX$2:$AX$2</definedName>
    <definedName name="pojasevi">Pravilnik!$F$2:$F$8</definedName>
    <definedName name="polovi">Pravilnik!$G$2:$G$3</definedName>
    <definedName name="_xlnm.Print_Titles" localSheetId="1">Ekipno!$9:$9</definedName>
    <definedName name="_xlnm.Print_Titles" localSheetId="0">Prijava!$10:$10</definedName>
    <definedName name="sve_discipline">Pravilnik!$H$2:$H$14</definedName>
    <definedName name="sve_ekipne">Pravilnik!$I$2:$I$7</definedName>
    <definedName name="sve_kilaze">Pravilnik!$J$2:$J$32</definedName>
    <definedName name="tdisc_A">Pravilnik!$L$2:$L$4</definedName>
    <definedName name="tdisc_B">Pravilnik!$P$2:$P$4</definedName>
    <definedName name="tdisc_C">Pravilnik!$T$2:$T$5</definedName>
    <definedName name="tdisc_D">Pravilnik!$X$2:$X$5</definedName>
    <definedName name="tdisc_E">Pravilnik!$AB$2:$AB$5</definedName>
    <definedName name="tdisc_F">Pravilnik!$AF$2:$AF$5</definedName>
    <definedName name="tdisc_G">Pravilnik!$AJ$2:$AJ$5</definedName>
    <definedName name="tdisc_H">Pravilnik!$AN$2:$AN$5</definedName>
    <definedName name="tdisc_I">Pravilnik!$AR$2:$AR$5</definedName>
    <definedName name="vrste">Pravilnik!$BB$2:$BB$5</definedName>
  </definedNames>
  <calcPr calcId="124519" fullCalcOnLoad="1"/>
</workbook>
</file>

<file path=xl/sharedStrings.xml><?xml version="1.0" encoding="utf-8"?>
<sst xmlns="http://schemas.openxmlformats.org/spreadsheetml/2006/main" count="337" uniqueCount="180">
  <si>
    <t>PRIJAVA TAKMIČARA</t>
  </si>
  <si>
    <t>Fudokan savez Srbije · popunjava klub i dostavlja savezu · takmičarska sezona 2026. · izdanje 06.10.2026.</t>
  </si>
  <si>
    <t>Unos počinje godištem: uzrasna grupa i naziv uzrasta popunjavaju se automatski, a padajući meni nudi discipline koje su moguće u odnosu na uzrast. Telesna težina unosi se isključivo uz Fudokan sport kumite, budući da je tradicionalni kumite apsolutna kategorija. U kolonu „FSS ID" upisuje se ID takmičara sa spiska saveza — za 2026. godinu, a dok ga takmičar nema, prošlogodišnji; takmičar koji nastupa prvi put ostaje bez ID-a, nov ID dodeljuje savez. Kolona „Provera" služi za proveru kompletnosti prijave. Ekipne prijave se unose na listu „Ekipno".</t>
  </si>
  <si>
    <t>Klub</t>
  </si>
  <si>
    <t>pun naziv kluba, onako kako se navodi u rezultatima</t>
  </si>
  <si>
    <t>Grad</t>
  </si>
  <si>
    <t>Trener</t>
  </si>
  <si>
    <t>Takmičenje</t>
  </si>
  <si>
    <t>naziv takmičenja za koje se prijava podnosi</t>
  </si>
  <si>
    <t>Godište</t>
  </si>
  <si>
    <t>Ime i prezime</t>
  </si>
  <si>
    <t>Pol</t>
  </si>
  <si>
    <t>Pojas</t>
  </si>
  <si>
    <t>Grupa</t>
  </si>
  <si>
    <t>Uzrast</t>
  </si>
  <si>
    <t>Disciplina 1</t>
  </si>
  <si>
    <t>Disciplina 2</t>
  </si>
  <si>
    <t>Disciplina 3</t>
  </si>
  <si>
    <t>Disciplina 4</t>
  </si>
  <si>
    <t>Disciplina 5</t>
  </si>
  <si>
    <t>Disciplina 6</t>
  </si>
  <si>
    <t>Disciplina 7</t>
  </si>
  <si>
    <t>Disciplina 8</t>
  </si>
  <si>
    <t>Telesna težina</t>
  </si>
  <si>
    <t>FSS ID</t>
  </si>
  <si>
    <t>Provera</t>
  </si>
  <si>
    <t>EKIPNE PRIJAVE</t>
  </si>
  <si>
    <t>Popunjava se samo ako klub prijavljuje ekipe</t>
  </si>
  <si>
    <t>Jedan red predstavlja jednu ekipu; klub može prijaviti više ekipa u istoj disciplini, svaku u zasebnom redu. Unos počinje godištem prvog člana, iz kojeg se izvodi uzrasna grupa, pa padajući meni nudi ekipne discipline koje su moguće u odnosu na taj uzrast. Svi članovi ekipe moraju pripadati istoj uzrasnoj grupi.</t>
  </si>
  <si>
    <t>preuzima se sa lista „Prijava"</t>
  </si>
  <si>
    <t>Disciplina</t>
  </si>
  <si>
    <t>Vrsta</t>
  </si>
  <si>
    <t>1. godište</t>
  </si>
  <si>
    <t>1. ime i prezime</t>
  </si>
  <si>
    <t>1. pol</t>
  </si>
  <si>
    <t>2. godište</t>
  </si>
  <si>
    <t>2. ime i prezime</t>
  </si>
  <si>
    <t>2. pol</t>
  </si>
  <si>
    <t>3. godište</t>
  </si>
  <si>
    <t>3. ime i prezime</t>
  </si>
  <si>
    <t>3. pol</t>
  </si>
  <si>
    <t>4. godište</t>
  </si>
  <si>
    <t>4. ime i prezime</t>
  </si>
  <si>
    <t>4. pol</t>
  </si>
  <si>
    <t>od godišta</t>
  </si>
  <si>
    <t>grupa</t>
  </si>
  <si>
    <t>uzrast</t>
  </si>
  <si>
    <t>J</t>
  </si>
  <si>
    <t>veterani</t>
  </si>
  <si>
    <t>I</t>
  </si>
  <si>
    <t>stariji seniori</t>
  </si>
  <si>
    <t>H</t>
  </si>
  <si>
    <t>mlađi seniori</t>
  </si>
  <si>
    <t>G</t>
  </si>
  <si>
    <t>omladinci</t>
  </si>
  <si>
    <t>F</t>
  </si>
  <si>
    <t>juniori</t>
  </si>
  <si>
    <t>E</t>
  </si>
  <si>
    <t>kadeti</t>
  </si>
  <si>
    <t>D</t>
  </si>
  <si>
    <t>stariji pioniri</t>
  </si>
  <si>
    <t>C</t>
  </si>
  <si>
    <t>pioniri</t>
  </si>
  <si>
    <t>B</t>
  </si>
  <si>
    <t>mlađi pioniri</t>
  </si>
  <si>
    <t>A</t>
  </si>
  <si>
    <t>poletarci</t>
  </si>
  <si>
    <t>godista</t>
  </si>
  <si>
    <t>pojasevi</t>
  </si>
  <si>
    <t>beli</t>
  </si>
  <si>
    <t>žuti</t>
  </si>
  <si>
    <t>oranž</t>
  </si>
  <si>
    <t>zeleni</t>
  </si>
  <si>
    <t>plavi</t>
  </si>
  <si>
    <t>braon</t>
  </si>
  <si>
    <t>crni</t>
  </si>
  <si>
    <t>polovi</t>
  </si>
  <si>
    <t>muški</t>
  </si>
  <si>
    <t>ženski</t>
  </si>
  <si>
    <t>sve_discipline</t>
  </si>
  <si>
    <t>Kate</t>
  </si>
  <si>
    <t>Kihon u mestu</t>
  </si>
  <si>
    <t>Kihon kumite</t>
  </si>
  <si>
    <t>Kihon ippon kumite</t>
  </si>
  <si>
    <t>Jiu ippon kumite</t>
  </si>
  <si>
    <t>Ko go kumite</t>
  </si>
  <si>
    <t>Fuku go</t>
  </si>
  <si>
    <t>Kumite</t>
  </si>
  <si>
    <t>Tsumeai</t>
  </si>
  <si>
    <t>Tamashiwari</t>
  </si>
  <si>
    <t>Kobudo</t>
  </si>
  <si>
    <t>Fudokan sport kate</t>
  </si>
  <si>
    <t>Fudokan sport kumite</t>
  </si>
  <si>
    <t>sve_ekipne</t>
  </si>
  <si>
    <t>Jiu ippon kumite tim</t>
  </si>
  <si>
    <t>Enbu</t>
  </si>
  <si>
    <t>Ko go kumite tim</t>
  </si>
  <si>
    <t>Kumite tim</t>
  </si>
  <si>
    <t>Fudokan sport kata tim</t>
  </si>
  <si>
    <t>Fudokan sport kumite tim</t>
  </si>
  <si>
    <t>sve_kilaze</t>
  </si>
  <si>
    <t>30</t>
  </si>
  <si>
    <t>40</t>
  </si>
  <si>
    <t>+40</t>
  </si>
  <si>
    <t>35</t>
  </si>
  <si>
    <t>+35</t>
  </si>
  <si>
    <t>45</t>
  </si>
  <si>
    <t>+45</t>
  </si>
  <si>
    <t>37</t>
  </si>
  <si>
    <t>42</t>
  </si>
  <si>
    <t>+42</t>
  </si>
  <si>
    <t>55</t>
  </si>
  <si>
    <t>+55</t>
  </si>
  <si>
    <t>53</t>
  </si>
  <si>
    <t>+53</t>
  </si>
  <si>
    <t>57</t>
  </si>
  <si>
    <t>70</t>
  </si>
  <si>
    <t>+70</t>
  </si>
  <si>
    <t>47</t>
  </si>
  <si>
    <t>54</t>
  </si>
  <si>
    <t>+54</t>
  </si>
  <si>
    <t>68</t>
  </si>
  <si>
    <t>76</t>
  </si>
  <si>
    <t>+76</t>
  </si>
  <si>
    <t>59</t>
  </si>
  <si>
    <t>+59</t>
  </si>
  <si>
    <t>75</t>
  </si>
  <si>
    <t>84</t>
  </si>
  <si>
    <t>+84</t>
  </si>
  <si>
    <t>61</t>
  </si>
  <si>
    <t>+68</t>
  </si>
  <si>
    <t>apsolutna</t>
  </si>
  <si>
    <t>disc_A</t>
  </si>
  <si>
    <t>tdisc_A</t>
  </si>
  <si>
    <t>kg_A_M</t>
  </si>
  <si>
    <t>kg_A_Z</t>
  </si>
  <si>
    <t>disc_B</t>
  </si>
  <si>
    <t>tdisc_B</t>
  </si>
  <si>
    <t>kg_B_M</t>
  </si>
  <si>
    <t>kg_B_Z</t>
  </si>
  <si>
    <t>disc_C</t>
  </si>
  <si>
    <t>tdisc_C</t>
  </si>
  <si>
    <t>kg_C_M</t>
  </si>
  <si>
    <t>kg_C_Z</t>
  </si>
  <si>
    <t>disc_D</t>
  </si>
  <si>
    <t>tdisc_D</t>
  </si>
  <si>
    <t>kg_D_M</t>
  </si>
  <si>
    <t>kg_D_Z</t>
  </si>
  <si>
    <t>disc_E</t>
  </si>
  <si>
    <t>tdisc_E</t>
  </si>
  <si>
    <t>kg_E_M</t>
  </si>
  <si>
    <t>kg_E_Z</t>
  </si>
  <si>
    <t>disc_F</t>
  </si>
  <si>
    <t>tdisc_F</t>
  </si>
  <si>
    <t>kg_F_M</t>
  </si>
  <si>
    <t>kg_F_Z</t>
  </si>
  <si>
    <t>disc_G</t>
  </si>
  <si>
    <t>tdisc_G</t>
  </si>
  <si>
    <t>kg_G_M</t>
  </si>
  <si>
    <t>kg_G_Z</t>
  </si>
  <si>
    <t>disc_H</t>
  </si>
  <si>
    <t>tdisc_H</t>
  </si>
  <si>
    <t>kg_H_M</t>
  </si>
  <si>
    <t>kg_H_Z</t>
  </si>
  <si>
    <t>disc_I</t>
  </si>
  <si>
    <t>tdisc_I</t>
  </si>
  <si>
    <t>kg_I_M</t>
  </si>
  <si>
    <t>kg_I_Z</t>
  </si>
  <si>
    <t>disc_J</t>
  </si>
  <si>
    <t>tdisc_J</t>
  </si>
  <si>
    <t>kg_J_M</t>
  </si>
  <si>
    <t>kg_J_Z</t>
  </si>
  <si>
    <t>ekipa</t>
  </si>
  <si>
    <t>min</t>
  </si>
  <si>
    <t>max</t>
  </si>
  <si>
    <t>vrste</t>
  </si>
  <si>
    <t>muškarci</t>
  </si>
  <si>
    <t>žene</t>
  </si>
  <si>
    <t>muški par</t>
  </si>
  <si>
    <t>mešoviti par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</si>
</sst>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9"/>
      <color rgb="FF6B6B7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FFFFFF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5980A6"/>
        <bgColor indexed="64"/>
      </patternFill>
    </fill>
    <fill>
      <patternFill patternType="solid">
        <fgColor rgb="FFEEF6FF"/>
        <bgColor indexed="64"/>
      </patternFill>
    </fill>
  </fills>
  <borders count="2">
    <border>
      <left/>
      <right/>
      <top/>
      <bottom/>
      <diagonal/>
    </border>
    <border>
      <left style="thin">
        <color rgb="FFD4D4D7"/>
      </left>
      <right style="thin">
        <color rgb="FFD4D4D7"/>
      </right>
      <top style="thin">
        <color rgb="FFD4D4D7"/>
      </top>
      <bottom style="thin">
        <color rgb="FFD4D4D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/>
    <xf numFmtId="0" fontId="4" fillId="0" borderId="1" xfId="0" applyFont="1" applyBorder="1" applyProtection="1">
      <protection locked="0"/>
    </xf>
    <xf numFmtId="0" fontId="5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/>
    </xf>
    <xf numFmtId="0" fontId="6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S130"/>
  <sheetViews>
    <sheetView tabSelected="1" workbookViewId="0">
      <pane ySplit="10" topLeftCell="A11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10.7109375" customWidth="1"/>
    <col min="4" max="4" width="11.7109375" customWidth="1"/>
    <col min="5" max="5" width="8.7109375" customWidth="1"/>
    <col min="6" max="6" width="16.7109375" customWidth="1"/>
    <col min="7" max="14" width="20.7109375" customWidth="1"/>
    <col min="15" max="15" width="12.7109375" customWidth="1"/>
    <col min="16" max="16" width="13.7109375" customWidth="1"/>
    <col min="17" max="17" width="34.7109375" customWidth="1"/>
    <col min="18" max="19" width="14.7109375" hidden="1" customWidth="1"/>
  </cols>
  <sheetData>
    <row r="1" spans="1:19">
      <c r="A1" s="1" t="s">
        <v>0</v>
      </c>
    </row>
    <row r="2" spans="1:19">
      <c r="A2" s="2" t="s">
        <v>1</v>
      </c>
    </row>
    <row r="3" spans="1:19" ht="40" customHeight="1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19">
      <c r="A4" s="4" t="s">
        <v>3</v>
      </c>
      <c r="B4" s="5"/>
      <c r="D4" s="2" t="s">
        <v>4</v>
      </c>
    </row>
    <row r="5" spans="1:19">
      <c r="A5" s="4" t="s">
        <v>5</v>
      </c>
      <c r="B5" s="5"/>
    </row>
    <row r="6" spans="1:19">
      <c r="A6" s="4" t="s">
        <v>6</v>
      </c>
      <c r="B6" s="5"/>
    </row>
    <row r="7" spans="1:19">
      <c r="A7" s="4" t="s">
        <v>7</v>
      </c>
      <c r="B7" s="5"/>
      <c r="D7" s="2" t="s">
        <v>8</v>
      </c>
    </row>
    <row r="10" spans="1:19" ht="30" customHeight="1">
      <c r="A10" s="6" t="s">
        <v>9</v>
      </c>
      <c r="B10" s="6" t="s">
        <v>10</v>
      </c>
      <c r="C10" s="6" t="s">
        <v>11</v>
      </c>
      <c r="D10" s="6" t="s">
        <v>12</v>
      </c>
      <c r="E10" s="6" t="s">
        <v>13</v>
      </c>
      <c r="F10" s="6" t="s">
        <v>14</v>
      </c>
      <c r="G10" s="6" t="s">
        <v>15</v>
      </c>
      <c r="H10" s="6" t="s">
        <v>16</v>
      </c>
      <c r="I10" s="6" t="s">
        <v>17</v>
      </c>
      <c r="J10" s="6" t="s">
        <v>18</v>
      </c>
      <c r="K10" s="6" t="s">
        <v>19</v>
      </c>
      <c r="L10" s="6" t="s">
        <v>20</v>
      </c>
      <c r="M10" s="6" t="s">
        <v>21</v>
      </c>
      <c r="N10" s="6" t="s">
        <v>22</v>
      </c>
      <c r="O10" s="6" t="s">
        <v>23</v>
      </c>
      <c r="P10" s="6" t="s">
        <v>24</v>
      </c>
      <c r="Q10" s="6" t="s">
        <v>25</v>
      </c>
    </row>
    <row r="11" spans="1:19">
      <c r="A11" s="5"/>
      <c r="B11" s="5"/>
      <c r="C11" s="5"/>
      <c r="D11" s="5"/>
      <c r="E11" s="7">
        <f>IF($A11="","",LOOKUP($A11,INDEX(grupe,0,1),INDEX(grupe,0,2)))</f>
        <v/>
      </c>
      <c r="F11" s="7">
        <f>IF($E11="","",VLOOKUP($E11,INDEX(grupe,0,2):INDEX(grupe,0,3),2,FALSE))</f>
        <v/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8">
        <f>IF(COUNTA($A11:$D11,G11:N11,P11)=0,"",IF($A11="","Nedostaje godište",IF($E11="","Godište nije obuhvaćeno uzrasnom tabelom",IF($B11="","Nedostaje ime i prezime",IF(NOT(SUMPRODUCT(--ISERROR(FIND(MID($B11&amp;REPT("a",60),ROW($A$1:$A$60),1),"ABCDEFGHIJKLMNOPQRSTUVWXYZabcdefghijklmnopqrstuvwxyzČĆĐŠŽčćđšž -'")))=0),"Ime sadrži znakove koji nisu slova",IF($C11="","Nedostaje pol",IF($D11="","Nedostaje pojas",IF(COUNTA(G11:N11)=0,"Nije izabrana nijedna disciplina",IF(SUMPRODUCT(--(G11:N11&lt;&gt;""),--(COUNTIF(INDIRECT("disc_"&amp;$E11),G11:N11)=0))&gt;0,"Izabrana disciplina nije moguća za uzrast "&amp;$E11,IF(AND(COUNTIF(G11:N11,"Fudokan sport kumite")&gt;0,O11=""),"Nedostaje telesna težina za Fudokan sport kumite",IF(AND(COUNTIF(G11:N11,"Fudokan sport kumite")=0,O11&lt;&gt;""),"Telesna težina se unosi isključivo uz Fudokan sport kumite",IF(AND(P11&lt;&gt;"",NOT(IFERROR(AND(UPPER(LEFT(P11,4))="FSS-",MID(P11,LEN(P11)-2,1)="/",ISNUMBER(VALUE(RIGHT(P11,2))),VALUE(MID(P11,5,LEN(P11)-7))&gt;=1,VALUE(MID(P11,5,LEN(P11)-7))=INT(VALUE(MID(P11,5,LEN(P11)-7)))),FALSE))),"FSS ID se upisuje u obliku FSS-12/26","prijava je kompletna"))))))))))))</f>
        <v/>
      </c>
      <c r="R11">
        <f>IF($E11="","sve_discipline","disc_"&amp;$E11)</f>
        <v/>
      </c>
      <c r="S11">
        <f>IF(OR($E11="",$C11=""),"sve_kilaze","kg_"&amp;$E11&amp;"_"&amp;IF($C11="ženski","Z","M"))</f>
        <v/>
      </c>
    </row>
    <row r="12" spans="1:19">
      <c r="A12" s="5"/>
      <c r="B12" s="5"/>
      <c r="C12" s="5"/>
      <c r="D12" s="5"/>
      <c r="E12" s="7">
        <f>IF($A12="","",LOOKUP($A12,INDEX(grupe,0,1),INDEX(grupe,0,2)))</f>
        <v/>
      </c>
      <c r="F12" s="7">
        <f>IF($E12="","",VLOOKUP($E12,INDEX(grupe,0,2):INDEX(grupe,0,3),2,FALSE))</f>
        <v/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8">
        <f>IF(COUNTA($A12:$D12,G12:N12,P12)=0,"",IF($A12="","Nedostaje godište",IF($E12="","Godište nije obuhvaćeno uzrasnom tabelom",IF($B12="","Nedostaje ime i prezime",IF(NOT(SUMPRODUCT(--ISERROR(FIND(MID($B12&amp;REPT("a",60),ROW($A$1:$A$60),1),"ABCDEFGHIJKLMNOPQRSTUVWXYZabcdefghijklmnopqrstuvwxyzČĆĐŠŽčćđšž -'")))=0),"Ime sadrži znakove koji nisu slova",IF($C12="","Nedostaje pol",IF($D12="","Nedostaje pojas",IF(COUNTA(G12:N12)=0,"Nije izabrana nijedna disciplina",IF(SUMPRODUCT(--(G12:N12&lt;&gt;""),--(COUNTIF(INDIRECT("disc_"&amp;$E12),G12:N12)=0))&gt;0,"Izabrana disciplina nije moguća za uzrast "&amp;$E12,IF(AND(COUNTIF(G12:N12,"Fudokan sport kumite")&gt;0,O12=""),"Nedostaje telesna težina za Fudokan sport kumite",IF(AND(COUNTIF(G12:N12,"Fudokan sport kumite")=0,O12&lt;&gt;""),"Telesna težina se unosi isključivo uz Fudokan sport kumite",IF(AND(P12&lt;&gt;"",NOT(IFERROR(AND(UPPER(LEFT(P12,4))="FSS-",MID(P12,LEN(P12)-2,1)="/",ISNUMBER(VALUE(RIGHT(P12,2))),VALUE(MID(P12,5,LEN(P12)-7))&gt;=1,VALUE(MID(P12,5,LEN(P12)-7))=INT(VALUE(MID(P12,5,LEN(P12)-7)))),FALSE))),"FSS ID se upisuje u obliku FSS-12/26","prijava je kompletna"))))))))))))</f>
        <v/>
      </c>
      <c r="R12">
        <f>IF($E12="","sve_discipline","disc_"&amp;$E12)</f>
        <v/>
      </c>
      <c r="S12">
        <f>IF(OR($E12="",$C12=""),"sve_kilaze","kg_"&amp;$E12&amp;"_"&amp;IF($C12="ženski","Z","M"))</f>
        <v/>
      </c>
    </row>
    <row r="13" spans="1:19">
      <c r="A13" s="5"/>
      <c r="B13" s="5"/>
      <c r="C13" s="5"/>
      <c r="D13" s="5"/>
      <c r="E13" s="7">
        <f>IF($A13="","",LOOKUP($A13,INDEX(grupe,0,1),INDEX(grupe,0,2)))</f>
        <v/>
      </c>
      <c r="F13" s="7">
        <f>IF($E13="","",VLOOKUP($E13,INDEX(grupe,0,2):INDEX(grupe,0,3),2,FALSE))</f>
        <v/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8">
        <f>IF(COUNTA($A13:$D13,G13:N13,P13)=0,"",IF($A13="","Nedostaje godište",IF($E13="","Godište nije obuhvaćeno uzrasnom tabelom",IF($B13="","Nedostaje ime i prezime",IF(NOT(SUMPRODUCT(--ISERROR(FIND(MID($B13&amp;REPT("a",60),ROW($A$1:$A$60),1),"ABCDEFGHIJKLMNOPQRSTUVWXYZabcdefghijklmnopqrstuvwxyzČĆĐŠŽčćđšž -'")))=0),"Ime sadrži znakove koji nisu slova",IF($C13="","Nedostaje pol",IF($D13="","Nedostaje pojas",IF(COUNTA(G13:N13)=0,"Nije izabrana nijedna disciplina",IF(SUMPRODUCT(--(G13:N13&lt;&gt;""),--(COUNTIF(INDIRECT("disc_"&amp;$E13),G13:N13)=0))&gt;0,"Izabrana disciplina nije moguća za uzrast "&amp;$E13,IF(AND(COUNTIF(G13:N13,"Fudokan sport kumite")&gt;0,O13=""),"Nedostaje telesna težina za Fudokan sport kumite",IF(AND(COUNTIF(G13:N13,"Fudokan sport kumite")=0,O13&lt;&gt;""),"Telesna težina se unosi isključivo uz Fudokan sport kumite",IF(AND(P13&lt;&gt;"",NOT(IFERROR(AND(UPPER(LEFT(P13,4))="FSS-",MID(P13,LEN(P13)-2,1)="/",ISNUMBER(VALUE(RIGHT(P13,2))),VALUE(MID(P13,5,LEN(P13)-7))&gt;=1,VALUE(MID(P13,5,LEN(P13)-7))=INT(VALUE(MID(P13,5,LEN(P13)-7)))),FALSE))),"FSS ID se upisuje u obliku FSS-12/26","prijava je kompletna"))))))))))))</f>
        <v/>
      </c>
      <c r="R13">
        <f>IF($E13="","sve_discipline","disc_"&amp;$E13)</f>
        <v/>
      </c>
      <c r="S13">
        <f>IF(OR($E13="",$C13=""),"sve_kilaze","kg_"&amp;$E13&amp;"_"&amp;IF($C13="ženski","Z","M"))</f>
        <v/>
      </c>
    </row>
    <row r="14" spans="1:19">
      <c r="A14" s="5"/>
      <c r="B14" s="5"/>
      <c r="C14" s="5"/>
      <c r="D14" s="5"/>
      <c r="E14" s="7">
        <f>IF($A14="","",LOOKUP($A14,INDEX(grupe,0,1),INDEX(grupe,0,2)))</f>
        <v/>
      </c>
      <c r="F14" s="7">
        <f>IF($E14="","",VLOOKUP($E14,INDEX(grupe,0,2):INDEX(grupe,0,3),2,FALSE))</f>
        <v/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8">
        <f>IF(COUNTA($A14:$D14,G14:N14,P14)=0,"",IF($A14="","Nedostaje godište",IF($E14="","Godište nije obuhvaćeno uzrasnom tabelom",IF($B14="","Nedostaje ime i prezime",IF(NOT(SUMPRODUCT(--ISERROR(FIND(MID($B14&amp;REPT("a",60),ROW($A$1:$A$60),1),"ABCDEFGHIJKLMNOPQRSTUVWXYZabcdefghijklmnopqrstuvwxyzČĆĐŠŽčćđšž -'")))=0),"Ime sadrži znakove koji nisu slova",IF($C14="","Nedostaje pol",IF($D14="","Nedostaje pojas",IF(COUNTA(G14:N14)=0,"Nije izabrana nijedna disciplina",IF(SUMPRODUCT(--(G14:N14&lt;&gt;""),--(COUNTIF(INDIRECT("disc_"&amp;$E14),G14:N14)=0))&gt;0,"Izabrana disciplina nije moguća za uzrast "&amp;$E14,IF(AND(COUNTIF(G14:N14,"Fudokan sport kumite")&gt;0,O14=""),"Nedostaje telesna težina za Fudokan sport kumite",IF(AND(COUNTIF(G14:N14,"Fudokan sport kumite")=0,O14&lt;&gt;""),"Telesna težina se unosi isključivo uz Fudokan sport kumite",IF(AND(P14&lt;&gt;"",NOT(IFERROR(AND(UPPER(LEFT(P14,4))="FSS-",MID(P14,LEN(P14)-2,1)="/",ISNUMBER(VALUE(RIGHT(P14,2))),VALUE(MID(P14,5,LEN(P14)-7))&gt;=1,VALUE(MID(P14,5,LEN(P14)-7))=INT(VALUE(MID(P14,5,LEN(P14)-7)))),FALSE))),"FSS ID se upisuje u obliku FSS-12/26","prijava je kompletna"))))))))))))</f>
        <v/>
      </c>
      <c r="R14">
        <f>IF($E14="","sve_discipline","disc_"&amp;$E14)</f>
        <v/>
      </c>
      <c r="S14">
        <f>IF(OR($E14="",$C14=""),"sve_kilaze","kg_"&amp;$E14&amp;"_"&amp;IF($C14="ženski","Z","M"))</f>
        <v/>
      </c>
    </row>
    <row r="15" spans="1:19">
      <c r="A15" s="5"/>
      <c r="B15" s="5"/>
      <c r="C15" s="5"/>
      <c r="D15" s="5"/>
      <c r="E15" s="7">
        <f>IF($A15="","",LOOKUP($A15,INDEX(grupe,0,1),INDEX(grupe,0,2)))</f>
        <v/>
      </c>
      <c r="F15" s="7">
        <f>IF($E15="","",VLOOKUP($E15,INDEX(grupe,0,2):INDEX(grupe,0,3),2,FALSE))</f>
        <v/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8">
        <f>IF(COUNTA($A15:$D15,G15:N15,P15)=0,"",IF($A15="","Nedostaje godište",IF($E15="","Godište nije obuhvaćeno uzrasnom tabelom",IF($B15="","Nedostaje ime i prezime",IF(NOT(SUMPRODUCT(--ISERROR(FIND(MID($B15&amp;REPT("a",60),ROW($A$1:$A$60),1),"ABCDEFGHIJKLMNOPQRSTUVWXYZabcdefghijklmnopqrstuvwxyzČĆĐŠŽčćđšž -'")))=0),"Ime sadrži znakove koji nisu slova",IF($C15="","Nedostaje pol",IF($D15="","Nedostaje pojas",IF(COUNTA(G15:N15)=0,"Nije izabrana nijedna disciplina",IF(SUMPRODUCT(--(G15:N15&lt;&gt;""),--(COUNTIF(INDIRECT("disc_"&amp;$E15),G15:N15)=0))&gt;0,"Izabrana disciplina nije moguća za uzrast "&amp;$E15,IF(AND(COUNTIF(G15:N15,"Fudokan sport kumite")&gt;0,O15=""),"Nedostaje telesna težina za Fudokan sport kumite",IF(AND(COUNTIF(G15:N15,"Fudokan sport kumite")=0,O15&lt;&gt;""),"Telesna težina se unosi isključivo uz Fudokan sport kumite",IF(AND(P15&lt;&gt;"",NOT(IFERROR(AND(UPPER(LEFT(P15,4))="FSS-",MID(P15,LEN(P15)-2,1)="/",ISNUMBER(VALUE(RIGHT(P15,2))),VALUE(MID(P15,5,LEN(P15)-7))&gt;=1,VALUE(MID(P15,5,LEN(P15)-7))=INT(VALUE(MID(P15,5,LEN(P15)-7)))),FALSE))),"FSS ID se upisuje u obliku FSS-12/26","prijava je kompletna"))))))))))))</f>
        <v/>
      </c>
      <c r="R15">
        <f>IF($E15="","sve_discipline","disc_"&amp;$E15)</f>
        <v/>
      </c>
      <c r="S15">
        <f>IF(OR($E15="",$C15=""),"sve_kilaze","kg_"&amp;$E15&amp;"_"&amp;IF($C15="ženski","Z","M"))</f>
        <v/>
      </c>
    </row>
    <row r="16" spans="1:19">
      <c r="A16" s="5"/>
      <c r="B16" s="5"/>
      <c r="C16" s="5"/>
      <c r="D16" s="5"/>
      <c r="E16" s="7">
        <f>IF($A16="","",LOOKUP($A16,INDEX(grupe,0,1),INDEX(grupe,0,2)))</f>
        <v/>
      </c>
      <c r="F16" s="7">
        <f>IF($E16="","",VLOOKUP($E16,INDEX(grupe,0,2):INDEX(grupe,0,3),2,FALSE))</f>
        <v/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8">
        <f>IF(COUNTA($A16:$D16,G16:N16,P16)=0,"",IF($A16="","Nedostaje godište",IF($E16="","Godište nije obuhvaćeno uzrasnom tabelom",IF($B16="","Nedostaje ime i prezime",IF(NOT(SUMPRODUCT(--ISERROR(FIND(MID($B16&amp;REPT("a",60),ROW($A$1:$A$60),1),"ABCDEFGHIJKLMNOPQRSTUVWXYZabcdefghijklmnopqrstuvwxyzČĆĐŠŽčćđšž -'")))=0),"Ime sadrži znakove koji nisu slova",IF($C16="","Nedostaje pol",IF($D16="","Nedostaje pojas",IF(COUNTA(G16:N16)=0,"Nije izabrana nijedna disciplina",IF(SUMPRODUCT(--(G16:N16&lt;&gt;""),--(COUNTIF(INDIRECT("disc_"&amp;$E16),G16:N16)=0))&gt;0,"Izabrana disciplina nije moguća za uzrast "&amp;$E16,IF(AND(COUNTIF(G16:N16,"Fudokan sport kumite")&gt;0,O16=""),"Nedostaje telesna težina za Fudokan sport kumite",IF(AND(COUNTIF(G16:N16,"Fudokan sport kumite")=0,O16&lt;&gt;""),"Telesna težina se unosi isključivo uz Fudokan sport kumite",IF(AND(P16&lt;&gt;"",NOT(IFERROR(AND(UPPER(LEFT(P16,4))="FSS-",MID(P16,LEN(P16)-2,1)="/",ISNUMBER(VALUE(RIGHT(P16,2))),VALUE(MID(P16,5,LEN(P16)-7))&gt;=1,VALUE(MID(P16,5,LEN(P16)-7))=INT(VALUE(MID(P16,5,LEN(P16)-7)))),FALSE))),"FSS ID se upisuje u obliku FSS-12/26","prijava je kompletna"))))))))))))</f>
        <v/>
      </c>
      <c r="R16">
        <f>IF($E16="","sve_discipline","disc_"&amp;$E16)</f>
        <v/>
      </c>
      <c r="S16">
        <f>IF(OR($E16="",$C16=""),"sve_kilaze","kg_"&amp;$E16&amp;"_"&amp;IF($C16="ženski","Z","M"))</f>
        <v/>
      </c>
    </row>
    <row r="17" spans="1:19">
      <c r="A17" s="5"/>
      <c r="B17" s="5"/>
      <c r="C17" s="5"/>
      <c r="D17" s="5"/>
      <c r="E17" s="7">
        <f>IF($A17="","",LOOKUP($A17,INDEX(grupe,0,1),INDEX(grupe,0,2)))</f>
        <v/>
      </c>
      <c r="F17" s="7">
        <f>IF($E17="","",VLOOKUP($E17,INDEX(grupe,0,2):INDEX(grupe,0,3),2,FALSE))</f>
        <v/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8">
        <f>IF(COUNTA($A17:$D17,G17:N17,P17)=0,"",IF($A17="","Nedostaje godište",IF($E17="","Godište nije obuhvaćeno uzrasnom tabelom",IF($B17="","Nedostaje ime i prezime",IF(NOT(SUMPRODUCT(--ISERROR(FIND(MID($B17&amp;REPT("a",60),ROW($A$1:$A$60),1),"ABCDEFGHIJKLMNOPQRSTUVWXYZabcdefghijklmnopqrstuvwxyzČĆĐŠŽčćđšž -'")))=0),"Ime sadrži znakove koji nisu slova",IF($C17="","Nedostaje pol",IF($D17="","Nedostaje pojas",IF(COUNTA(G17:N17)=0,"Nije izabrana nijedna disciplina",IF(SUMPRODUCT(--(G17:N17&lt;&gt;""),--(COUNTIF(INDIRECT("disc_"&amp;$E17),G17:N17)=0))&gt;0,"Izabrana disciplina nije moguća za uzrast "&amp;$E17,IF(AND(COUNTIF(G17:N17,"Fudokan sport kumite")&gt;0,O17=""),"Nedostaje telesna težina za Fudokan sport kumite",IF(AND(COUNTIF(G17:N17,"Fudokan sport kumite")=0,O17&lt;&gt;""),"Telesna težina se unosi isključivo uz Fudokan sport kumite",IF(AND(P17&lt;&gt;"",NOT(IFERROR(AND(UPPER(LEFT(P17,4))="FSS-",MID(P17,LEN(P17)-2,1)="/",ISNUMBER(VALUE(RIGHT(P17,2))),VALUE(MID(P17,5,LEN(P17)-7))&gt;=1,VALUE(MID(P17,5,LEN(P17)-7))=INT(VALUE(MID(P17,5,LEN(P17)-7)))),FALSE))),"FSS ID se upisuje u obliku FSS-12/26","prijava je kompletna"))))))))))))</f>
        <v/>
      </c>
      <c r="R17">
        <f>IF($E17="","sve_discipline","disc_"&amp;$E17)</f>
        <v/>
      </c>
      <c r="S17">
        <f>IF(OR($E17="",$C17=""),"sve_kilaze","kg_"&amp;$E17&amp;"_"&amp;IF($C17="ženski","Z","M"))</f>
        <v/>
      </c>
    </row>
    <row r="18" spans="1:19">
      <c r="A18" s="5"/>
      <c r="B18" s="5"/>
      <c r="C18" s="5"/>
      <c r="D18" s="5"/>
      <c r="E18" s="7">
        <f>IF($A18="","",LOOKUP($A18,INDEX(grupe,0,1),INDEX(grupe,0,2)))</f>
        <v/>
      </c>
      <c r="F18" s="7">
        <f>IF($E18="","",VLOOKUP($E18,INDEX(grupe,0,2):INDEX(grupe,0,3),2,FALSE))</f>
        <v/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8">
        <f>IF(COUNTA($A18:$D18,G18:N18,P18)=0,"",IF($A18="","Nedostaje godište",IF($E18="","Godište nije obuhvaćeno uzrasnom tabelom",IF($B18="","Nedostaje ime i prezime",IF(NOT(SUMPRODUCT(--ISERROR(FIND(MID($B18&amp;REPT("a",60),ROW($A$1:$A$60),1),"ABCDEFGHIJKLMNOPQRSTUVWXYZabcdefghijklmnopqrstuvwxyzČĆĐŠŽčćđšž -'")))=0),"Ime sadrži znakove koji nisu slova",IF($C18="","Nedostaje pol",IF($D18="","Nedostaje pojas",IF(COUNTA(G18:N18)=0,"Nije izabrana nijedna disciplina",IF(SUMPRODUCT(--(G18:N18&lt;&gt;""),--(COUNTIF(INDIRECT("disc_"&amp;$E18),G18:N18)=0))&gt;0,"Izabrana disciplina nije moguća za uzrast "&amp;$E18,IF(AND(COUNTIF(G18:N18,"Fudokan sport kumite")&gt;0,O18=""),"Nedostaje telesna težina za Fudokan sport kumite",IF(AND(COUNTIF(G18:N18,"Fudokan sport kumite")=0,O18&lt;&gt;""),"Telesna težina se unosi isključivo uz Fudokan sport kumite",IF(AND(P18&lt;&gt;"",NOT(IFERROR(AND(UPPER(LEFT(P18,4))="FSS-",MID(P18,LEN(P18)-2,1)="/",ISNUMBER(VALUE(RIGHT(P18,2))),VALUE(MID(P18,5,LEN(P18)-7))&gt;=1,VALUE(MID(P18,5,LEN(P18)-7))=INT(VALUE(MID(P18,5,LEN(P18)-7)))),FALSE))),"FSS ID se upisuje u obliku FSS-12/26","prijava je kompletna"))))))))))))</f>
        <v/>
      </c>
      <c r="R18">
        <f>IF($E18="","sve_discipline","disc_"&amp;$E18)</f>
        <v/>
      </c>
      <c r="S18">
        <f>IF(OR($E18="",$C18=""),"sve_kilaze","kg_"&amp;$E18&amp;"_"&amp;IF($C18="ženski","Z","M"))</f>
        <v/>
      </c>
    </row>
    <row r="19" spans="1:19">
      <c r="A19" s="5"/>
      <c r="B19" s="5"/>
      <c r="C19" s="5"/>
      <c r="D19" s="5"/>
      <c r="E19" s="7">
        <f>IF($A19="","",LOOKUP($A19,INDEX(grupe,0,1),INDEX(grupe,0,2)))</f>
        <v/>
      </c>
      <c r="F19" s="7">
        <f>IF($E19="","",VLOOKUP($E19,INDEX(grupe,0,2):INDEX(grupe,0,3),2,FALSE))</f>
        <v/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8">
        <f>IF(COUNTA($A19:$D19,G19:N19,P19)=0,"",IF($A19="","Nedostaje godište",IF($E19="","Godište nije obuhvaćeno uzrasnom tabelom",IF($B19="","Nedostaje ime i prezime",IF(NOT(SUMPRODUCT(--ISERROR(FIND(MID($B19&amp;REPT("a",60),ROW($A$1:$A$60),1),"ABCDEFGHIJKLMNOPQRSTUVWXYZabcdefghijklmnopqrstuvwxyzČĆĐŠŽčćđšž -'")))=0),"Ime sadrži znakove koji nisu slova",IF($C19="","Nedostaje pol",IF($D19="","Nedostaje pojas",IF(COUNTA(G19:N19)=0,"Nije izabrana nijedna disciplina",IF(SUMPRODUCT(--(G19:N19&lt;&gt;""),--(COUNTIF(INDIRECT("disc_"&amp;$E19),G19:N19)=0))&gt;0,"Izabrana disciplina nije moguća za uzrast "&amp;$E19,IF(AND(COUNTIF(G19:N19,"Fudokan sport kumite")&gt;0,O19=""),"Nedostaje telesna težina za Fudokan sport kumite",IF(AND(COUNTIF(G19:N19,"Fudokan sport kumite")=0,O19&lt;&gt;""),"Telesna težina se unosi isključivo uz Fudokan sport kumite",IF(AND(P19&lt;&gt;"",NOT(IFERROR(AND(UPPER(LEFT(P19,4))="FSS-",MID(P19,LEN(P19)-2,1)="/",ISNUMBER(VALUE(RIGHT(P19,2))),VALUE(MID(P19,5,LEN(P19)-7))&gt;=1,VALUE(MID(P19,5,LEN(P19)-7))=INT(VALUE(MID(P19,5,LEN(P19)-7)))),FALSE))),"FSS ID se upisuje u obliku FSS-12/26","prijava je kompletna"))))))))))))</f>
        <v/>
      </c>
      <c r="R19">
        <f>IF($E19="","sve_discipline","disc_"&amp;$E19)</f>
        <v/>
      </c>
      <c r="S19">
        <f>IF(OR($E19="",$C19=""),"sve_kilaze","kg_"&amp;$E19&amp;"_"&amp;IF($C19="ženski","Z","M"))</f>
        <v/>
      </c>
    </row>
    <row r="20" spans="1:19">
      <c r="A20" s="5"/>
      <c r="B20" s="5"/>
      <c r="C20" s="5"/>
      <c r="D20" s="5"/>
      <c r="E20" s="7">
        <f>IF($A20="","",LOOKUP($A20,INDEX(grupe,0,1),INDEX(grupe,0,2)))</f>
        <v/>
      </c>
      <c r="F20" s="7">
        <f>IF($E20="","",VLOOKUP($E20,INDEX(grupe,0,2):INDEX(grupe,0,3),2,FALSE))</f>
        <v/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8">
        <f>IF(COUNTA($A20:$D20,G20:N20,P20)=0,"",IF($A20="","Nedostaje godište",IF($E20="","Godište nije obuhvaćeno uzrasnom tabelom",IF($B20="","Nedostaje ime i prezime",IF(NOT(SUMPRODUCT(--ISERROR(FIND(MID($B20&amp;REPT("a",60),ROW($A$1:$A$60),1),"ABCDEFGHIJKLMNOPQRSTUVWXYZabcdefghijklmnopqrstuvwxyzČĆĐŠŽčćđšž -'")))=0),"Ime sadrži znakove koji nisu slova",IF($C20="","Nedostaje pol",IF($D20="","Nedostaje pojas",IF(COUNTA(G20:N20)=0,"Nije izabrana nijedna disciplina",IF(SUMPRODUCT(--(G20:N20&lt;&gt;""),--(COUNTIF(INDIRECT("disc_"&amp;$E20),G20:N20)=0))&gt;0,"Izabrana disciplina nije moguća za uzrast "&amp;$E20,IF(AND(COUNTIF(G20:N20,"Fudokan sport kumite")&gt;0,O20=""),"Nedostaje telesna težina za Fudokan sport kumite",IF(AND(COUNTIF(G20:N20,"Fudokan sport kumite")=0,O20&lt;&gt;""),"Telesna težina se unosi isključivo uz Fudokan sport kumite",IF(AND(P20&lt;&gt;"",NOT(IFERROR(AND(UPPER(LEFT(P20,4))="FSS-",MID(P20,LEN(P20)-2,1)="/",ISNUMBER(VALUE(RIGHT(P20,2))),VALUE(MID(P20,5,LEN(P20)-7))&gt;=1,VALUE(MID(P20,5,LEN(P20)-7))=INT(VALUE(MID(P20,5,LEN(P20)-7)))),FALSE))),"FSS ID se upisuje u obliku FSS-12/26","prijava je kompletna"))))))))))))</f>
        <v/>
      </c>
      <c r="R20">
        <f>IF($E20="","sve_discipline","disc_"&amp;$E20)</f>
        <v/>
      </c>
      <c r="S20">
        <f>IF(OR($E20="",$C20=""),"sve_kilaze","kg_"&amp;$E20&amp;"_"&amp;IF($C20="ženski","Z","M"))</f>
        <v/>
      </c>
    </row>
    <row r="21" spans="1:19">
      <c r="A21" s="5"/>
      <c r="B21" s="5"/>
      <c r="C21" s="5"/>
      <c r="D21" s="5"/>
      <c r="E21" s="7">
        <f>IF($A21="","",LOOKUP($A21,INDEX(grupe,0,1),INDEX(grupe,0,2)))</f>
        <v/>
      </c>
      <c r="F21" s="7">
        <f>IF($E21="","",VLOOKUP($E21,INDEX(grupe,0,2):INDEX(grupe,0,3),2,FALSE))</f>
        <v/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8">
        <f>IF(COUNTA($A21:$D21,G21:N21,P21)=0,"",IF($A21="","Nedostaje godište",IF($E21="","Godište nije obuhvaćeno uzrasnom tabelom",IF($B21="","Nedostaje ime i prezime",IF(NOT(SUMPRODUCT(--ISERROR(FIND(MID($B21&amp;REPT("a",60),ROW($A$1:$A$60),1),"ABCDEFGHIJKLMNOPQRSTUVWXYZabcdefghijklmnopqrstuvwxyzČĆĐŠŽčćđšž -'")))=0),"Ime sadrži znakove koji nisu slova",IF($C21="","Nedostaje pol",IF($D21="","Nedostaje pojas",IF(COUNTA(G21:N21)=0,"Nije izabrana nijedna disciplina",IF(SUMPRODUCT(--(G21:N21&lt;&gt;""),--(COUNTIF(INDIRECT("disc_"&amp;$E21),G21:N21)=0))&gt;0,"Izabrana disciplina nije moguća za uzrast "&amp;$E21,IF(AND(COUNTIF(G21:N21,"Fudokan sport kumite")&gt;0,O21=""),"Nedostaje telesna težina za Fudokan sport kumite",IF(AND(COUNTIF(G21:N21,"Fudokan sport kumite")=0,O21&lt;&gt;""),"Telesna težina se unosi isključivo uz Fudokan sport kumite",IF(AND(P21&lt;&gt;"",NOT(IFERROR(AND(UPPER(LEFT(P21,4))="FSS-",MID(P21,LEN(P21)-2,1)="/",ISNUMBER(VALUE(RIGHT(P21,2))),VALUE(MID(P21,5,LEN(P21)-7))&gt;=1,VALUE(MID(P21,5,LEN(P21)-7))=INT(VALUE(MID(P21,5,LEN(P21)-7)))),FALSE))),"FSS ID se upisuje u obliku FSS-12/26","prijava je kompletna"))))))))))))</f>
        <v/>
      </c>
      <c r="R21">
        <f>IF($E21="","sve_discipline","disc_"&amp;$E21)</f>
        <v/>
      </c>
      <c r="S21">
        <f>IF(OR($E21="",$C21=""),"sve_kilaze","kg_"&amp;$E21&amp;"_"&amp;IF($C21="ženski","Z","M"))</f>
        <v/>
      </c>
    </row>
    <row r="22" spans="1:19">
      <c r="A22" s="5"/>
      <c r="B22" s="5"/>
      <c r="C22" s="5"/>
      <c r="D22" s="5"/>
      <c r="E22" s="7">
        <f>IF($A22="","",LOOKUP($A22,INDEX(grupe,0,1),INDEX(grupe,0,2)))</f>
        <v/>
      </c>
      <c r="F22" s="7">
        <f>IF($E22="","",VLOOKUP($E22,INDEX(grupe,0,2):INDEX(grupe,0,3),2,FALSE))</f>
        <v/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8">
        <f>IF(COUNTA($A22:$D22,G22:N22,P22)=0,"",IF($A22="","Nedostaje godište",IF($E22="","Godište nije obuhvaćeno uzrasnom tabelom",IF($B22="","Nedostaje ime i prezime",IF(NOT(SUMPRODUCT(--ISERROR(FIND(MID($B22&amp;REPT("a",60),ROW($A$1:$A$60),1),"ABCDEFGHIJKLMNOPQRSTUVWXYZabcdefghijklmnopqrstuvwxyzČĆĐŠŽčćđšž -'")))=0),"Ime sadrži znakove koji nisu slova",IF($C22="","Nedostaje pol",IF($D22="","Nedostaje pojas",IF(COUNTA(G22:N22)=0,"Nije izabrana nijedna disciplina",IF(SUMPRODUCT(--(G22:N22&lt;&gt;""),--(COUNTIF(INDIRECT("disc_"&amp;$E22),G22:N22)=0))&gt;0,"Izabrana disciplina nije moguća za uzrast "&amp;$E22,IF(AND(COUNTIF(G22:N22,"Fudokan sport kumite")&gt;0,O22=""),"Nedostaje telesna težina za Fudokan sport kumite",IF(AND(COUNTIF(G22:N22,"Fudokan sport kumite")=0,O22&lt;&gt;""),"Telesna težina se unosi isključivo uz Fudokan sport kumite",IF(AND(P22&lt;&gt;"",NOT(IFERROR(AND(UPPER(LEFT(P22,4))="FSS-",MID(P22,LEN(P22)-2,1)="/",ISNUMBER(VALUE(RIGHT(P22,2))),VALUE(MID(P22,5,LEN(P22)-7))&gt;=1,VALUE(MID(P22,5,LEN(P22)-7))=INT(VALUE(MID(P22,5,LEN(P22)-7)))),FALSE))),"FSS ID se upisuje u obliku FSS-12/26","prijava je kompletna"))))))))))))</f>
        <v/>
      </c>
      <c r="R22">
        <f>IF($E22="","sve_discipline","disc_"&amp;$E22)</f>
        <v/>
      </c>
      <c r="S22">
        <f>IF(OR($E22="",$C22=""),"sve_kilaze","kg_"&amp;$E22&amp;"_"&amp;IF($C22="ženski","Z","M"))</f>
        <v/>
      </c>
    </row>
    <row r="23" spans="1:19">
      <c r="A23" s="5"/>
      <c r="B23" s="5"/>
      <c r="C23" s="5"/>
      <c r="D23" s="5"/>
      <c r="E23" s="7">
        <f>IF($A23="","",LOOKUP($A23,INDEX(grupe,0,1),INDEX(grupe,0,2)))</f>
        <v/>
      </c>
      <c r="F23" s="7">
        <f>IF($E23="","",VLOOKUP($E23,INDEX(grupe,0,2):INDEX(grupe,0,3),2,FALSE))</f>
        <v/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8">
        <f>IF(COUNTA($A23:$D23,G23:N23,P23)=0,"",IF($A23="","Nedostaje godište",IF($E23="","Godište nije obuhvaćeno uzrasnom tabelom",IF($B23="","Nedostaje ime i prezime",IF(NOT(SUMPRODUCT(--ISERROR(FIND(MID($B23&amp;REPT("a",60),ROW($A$1:$A$60),1),"ABCDEFGHIJKLMNOPQRSTUVWXYZabcdefghijklmnopqrstuvwxyzČĆĐŠŽčćđšž -'")))=0),"Ime sadrži znakove koji nisu slova",IF($C23="","Nedostaje pol",IF($D23="","Nedostaje pojas",IF(COUNTA(G23:N23)=0,"Nije izabrana nijedna disciplina",IF(SUMPRODUCT(--(G23:N23&lt;&gt;""),--(COUNTIF(INDIRECT("disc_"&amp;$E23),G23:N23)=0))&gt;0,"Izabrana disciplina nije moguća za uzrast "&amp;$E23,IF(AND(COUNTIF(G23:N23,"Fudokan sport kumite")&gt;0,O23=""),"Nedostaje telesna težina za Fudokan sport kumite",IF(AND(COUNTIF(G23:N23,"Fudokan sport kumite")=0,O23&lt;&gt;""),"Telesna težina se unosi isključivo uz Fudokan sport kumite",IF(AND(P23&lt;&gt;"",NOT(IFERROR(AND(UPPER(LEFT(P23,4))="FSS-",MID(P23,LEN(P23)-2,1)="/",ISNUMBER(VALUE(RIGHT(P23,2))),VALUE(MID(P23,5,LEN(P23)-7))&gt;=1,VALUE(MID(P23,5,LEN(P23)-7))=INT(VALUE(MID(P23,5,LEN(P23)-7)))),FALSE))),"FSS ID se upisuje u obliku FSS-12/26","prijava je kompletna"))))))))))))</f>
        <v/>
      </c>
      <c r="R23">
        <f>IF($E23="","sve_discipline","disc_"&amp;$E23)</f>
        <v/>
      </c>
      <c r="S23">
        <f>IF(OR($E23="",$C23=""),"sve_kilaze","kg_"&amp;$E23&amp;"_"&amp;IF($C23="ženski","Z","M"))</f>
        <v/>
      </c>
    </row>
    <row r="24" spans="1:19">
      <c r="A24" s="5"/>
      <c r="B24" s="5"/>
      <c r="C24" s="5"/>
      <c r="D24" s="5"/>
      <c r="E24" s="7">
        <f>IF($A24="","",LOOKUP($A24,INDEX(grupe,0,1),INDEX(grupe,0,2)))</f>
        <v/>
      </c>
      <c r="F24" s="7">
        <f>IF($E24="","",VLOOKUP($E24,INDEX(grupe,0,2):INDEX(grupe,0,3),2,FALSE))</f>
        <v/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8">
        <f>IF(COUNTA($A24:$D24,G24:N24,P24)=0,"",IF($A24="","Nedostaje godište",IF($E24="","Godište nije obuhvaćeno uzrasnom tabelom",IF($B24="","Nedostaje ime i prezime",IF(NOT(SUMPRODUCT(--ISERROR(FIND(MID($B24&amp;REPT("a",60),ROW($A$1:$A$60),1),"ABCDEFGHIJKLMNOPQRSTUVWXYZabcdefghijklmnopqrstuvwxyzČĆĐŠŽčćđšž -'")))=0),"Ime sadrži znakove koji nisu slova",IF($C24="","Nedostaje pol",IF($D24="","Nedostaje pojas",IF(COUNTA(G24:N24)=0,"Nije izabrana nijedna disciplina",IF(SUMPRODUCT(--(G24:N24&lt;&gt;""),--(COUNTIF(INDIRECT("disc_"&amp;$E24),G24:N24)=0))&gt;0,"Izabrana disciplina nije moguća za uzrast "&amp;$E24,IF(AND(COUNTIF(G24:N24,"Fudokan sport kumite")&gt;0,O24=""),"Nedostaje telesna težina za Fudokan sport kumite",IF(AND(COUNTIF(G24:N24,"Fudokan sport kumite")=0,O24&lt;&gt;""),"Telesna težina se unosi isključivo uz Fudokan sport kumite",IF(AND(P24&lt;&gt;"",NOT(IFERROR(AND(UPPER(LEFT(P24,4))="FSS-",MID(P24,LEN(P24)-2,1)="/",ISNUMBER(VALUE(RIGHT(P24,2))),VALUE(MID(P24,5,LEN(P24)-7))&gt;=1,VALUE(MID(P24,5,LEN(P24)-7))=INT(VALUE(MID(P24,5,LEN(P24)-7)))),FALSE))),"FSS ID se upisuje u obliku FSS-12/26","prijava je kompletna"))))))))))))</f>
        <v/>
      </c>
      <c r="R24">
        <f>IF($E24="","sve_discipline","disc_"&amp;$E24)</f>
        <v/>
      </c>
      <c r="S24">
        <f>IF(OR($E24="",$C24=""),"sve_kilaze","kg_"&amp;$E24&amp;"_"&amp;IF($C24="ženski","Z","M"))</f>
        <v/>
      </c>
    </row>
    <row r="25" spans="1:19">
      <c r="A25" s="5"/>
      <c r="B25" s="5"/>
      <c r="C25" s="5"/>
      <c r="D25" s="5"/>
      <c r="E25" s="7">
        <f>IF($A25="","",LOOKUP($A25,INDEX(grupe,0,1),INDEX(grupe,0,2)))</f>
        <v/>
      </c>
      <c r="F25" s="7">
        <f>IF($E25="","",VLOOKUP($E25,INDEX(grupe,0,2):INDEX(grupe,0,3),2,FALSE))</f>
        <v/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8">
        <f>IF(COUNTA($A25:$D25,G25:N25,P25)=0,"",IF($A25="","Nedostaje godište",IF($E25="","Godište nije obuhvaćeno uzrasnom tabelom",IF($B25="","Nedostaje ime i prezime",IF(NOT(SUMPRODUCT(--ISERROR(FIND(MID($B25&amp;REPT("a",60),ROW($A$1:$A$60),1),"ABCDEFGHIJKLMNOPQRSTUVWXYZabcdefghijklmnopqrstuvwxyzČĆĐŠŽčćđšž -'")))=0),"Ime sadrži znakove koji nisu slova",IF($C25="","Nedostaje pol",IF($D25="","Nedostaje pojas",IF(COUNTA(G25:N25)=0,"Nije izabrana nijedna disciplina",IF(SUMPRODUCT(--(G25:N25&lt;&gt;""),--(COUNTIF(INDIRECT("disc_"&amp;$E25),G25:N25)=0))&gt;0,"Izabrana disciplina nije moguća za uzrast "&amp;$E25,IF(AND(COUNTIF(G25:N25,"Fudokan sport kumite")&gt;0,O25=""),"Nedostaje telesna težina za Fudokan sport kumite",IF(AND(COUNTIF(G25:N25,"Fudokan sport kumite")=0,O25&lt;&gt;""),"Telesna težina se unosi isključivo uz Fudokan sport kumite",IF(AND(P25&lt;&gt;"",NOT(IFERROR(AND(UPPER(LEFT(P25,4))="FSS-",MID(P25,LEN(P25)-2,1)="/",ISNUMBER(VALUE(RIGHT(P25,2))),VALUE(MID(P25,5,LEN(P25)-7))&gt;=1,VALUE(MID(P25,5,LEN(P25)-7))=INT(VALUE(MID(P25,5,LEN(P25)-7)))),FALSE))),"FSS ID se upisuje u obliku FSS-12/26","prijava je kompletna"))))))))))))</f>
        <v/>
      </c>
      <c r="R25">
        <f>IF($E25="","sve_discipline","disc_"&amp;$E25)</f>
        <v/>
      </c>
      <c r="S25">
        <f>IF(OR($E25="",$C25=""),"sve_kilaze","kg_"&amp;$E25&amp;"_"&amp;IF($C25="ženski","Z","M"))</f>
        <v/>
      </c>
    </row>
    <row r="26" spans="1:19">
      <c r="A26" s="5"/>
      <c r="B26" s="5"/>
      <c r="C26" s="5"/>
      <c r="D26" s="5"/>
      <c r="E26" s="7">
        <f>IF($A26="","",LOOKUP($A26,INDEX(grupe,0,1),INDEX(grupe,0,2)))</f>
        <v/>
      </c>
      <c r="F26" s="7">
        <f>IF($E26="","",VLOOKUP($E26,INDEX(grupe,0,2):INDEX(grupe,0,3),2,FALSE))</f>
        <v/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8">
        <f>IF(COUNTA($A26:$D26,G26:N26,P26)=0,"",IF($A26="","Nedostaje godište",IF($E26="","Godište nije obuhvaćeno uzrasnom tabelom",IF($B26="","Nedostaje ime i prezime",IF(NOT(SUMPRODUCT(--ISERROR(FIND(MID($B26&amp;REPT("a",60),ROW($A$1:$A$60),1),"ABCDEFGHIJKLMNOPQRSTUVWXYZabcdefghijklmnopqrstuvwxyzČĆĐŠŽčćđšž -'")))=0),"Ime sadrži znakove koji nisu slova",IF($C26="","Nedostaje pol",IF($D26="","Nedostaje pojas",IF(COUNTA(G26:N26)=0,"Nije izabrana nijedna disciplina",IF(SUMPRODUCT(--(G26:N26&lt;&gt;""),--(COUNTIF(INDIRECT("disc_"&amp;$E26),G26:N26)=0))&gt;0,"Izabrana disciplina nije moguća za uzrast "&amp;$E26,IF(AND(COUNTIF(G26:N26,"Fudokan sport kumite")&gt;0,O26=""),"Nedostaje telesna težina za Fudokan sport kumite",IF(AND(COUNTIF(G26:N26,"Fudokan sport kumite")=0,O26&lt;&gt;""),"Telesna težina se unosi isključivo uz Fudokan sport kumite",IF(AND(P26&lt;&gt;"",NOT(IFERROR(AND(UPPER(LEFT(P26,4))="FSS-",MID(P26,LEN(P26)-2,1)="/",ISNUMBER(VALUE(RIGHT(P26,2))),VALUE(MID(P26,5,LEN(P26)-7))&gt;=1,VALUE(MID(P26,5,LEN(P26)-7))=INT(VALUE(MID(P26,5,LEN(P26)-7)))),FALSE))),"FSS ID se upisuje u obliku FSS-12/26","prijava je kompletna"))))))))))))</f>
        <v/>
      </c>
      <c r="R26">
        <f>IF($E26="","sve_discipline","disc_"&amp;$E26)</f>
        <v/>
      </c>
      <c r="S26">
        <f>IF(OR($E26="",$C26=""),"sve_kilaze","kg_"&amp;$E26&amp;"_"&amp;IF($C26="ženski","Z","M"))</f>
        <v/>
      </c>
    </row>
    <row r="27" spans="1:19">
      <c r="A27" s="5"/>
      <c r="B27" s="5"/>
      <c r="C27" s="5"/>
      <c r="D27" s="5"/>
      <c r="E27" s="7">
        <f>IF($A27="","",LOOKUP($A27,INDEX(grupe,0,1),INDEX(grupe,0,2)))</f>
        <v/>
      </c>
      <c r="F27" s="7">
        <f>IF($E27="","",VLOOKUP($E27,INDEX(grupe,0,2):INDEX(grupe,0,3),2,FALSE))</f>
        <v/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8">
        <f>IF(COUNTA($A27:$D27,G27:N27,P27)=0,"",IF($A27="","Nedostaje godište",IF($E27="","Godište nije obuhvaćeno uzrasnom tabelom",IF($B27="","Nedostaje ime i prezime",IF(NOT(SUMPRODUCT(--ISERROR(FIND(MID($B27&amp;REPT("a",60),ROW($A$1:$A$60),1),"ABCDEFGHIJKLMNOPQRSTUVWXYZabcdefghijklmnopqrstuvwxyzČĆĐŠŽčćđšž -'")))=0),"Ime sadrži znakove koji nisu slova",IF($C27="","Nedostaje pol",IF($D27="","Nedostaje pojas",IF(COUNTA(G27:N27)=0,"Nije izabrana nijedna disciplina",IF(SUMPRODUCT(--(G27:N27&lt;&gt;""),--(COUNTIF(INDIRECT("disc_"&amp;$E27),G27:N27)=0))&gt;0,"Izabrana disciplina nije moguća za uzrast "&amp;$E27,IF(AND(COUNTIF(G27:N27,"Fudokan sport kumite")&gt;0,O27=""),"Nedostaje telesna težina za Fudokan sport kumite",IF(AND(COUNTIF(G27:N27,"Fudokan sport kumite")=0,O27&lt;&gt;""),"Telesna težina se unosi isključivo uz Fudokan sport kumite",IF(AND(P27&lt;&gt;"",NOT(IFERROR(AND(UPPER(LEFT(P27,4))="FSS-",MID(P27,LEN(P27)-2,1)="/",ISNUMBER(VALUE(RIGHT(P27,2))),VALUE(MID(P27,5,LEN(P27)-7))&gt;=1,VALUE(MID(P27,5,LEN(P27)-7))=INT(VALUE(MID(P27,5,LEN(P27)-7)))),FALSE))),"FSS ID se upisuje u obliku FSS-12/26","prijava je kompletna"))))))))))))</f>
        <v/>
      </c>
      <c r="R27">
        <f>IF($E27="","sve_discipline","disc_"&amp;$E27)</f>
        <v/>
      </c>
      <c r="S27">
        <f>IF(OR($E27="",$C27=""),"sve_kilaze","kg_"&amp;$E27&amp;"_"&amp;IF($C27="ženski","Z","M"))</f>
        <v/>
      </c>
    </row>
    <row r="28" spans="1:19">
      <c r="A28" s="5"/>
      <c r="B28" s="5"/>
      <c r="C28" s="5"/>
      <c r="D28" s="5"/>
      <c r="E28" s="7">
        <f>IF($A28="","",LOOKUP($A28,INDEX(grupe,0,1),INDEX(grupe,0,2)))</f>
        <v/>
      </c>
      <c r="F28" s="7">
        <f>IF($E28="","",VLOOKUP($E28,INDEX(grupe,0,2):INDEX(grupe,0,3),2,FALSE))</f>
        <v/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8">
        <f>IF(COUNTA($A28:$D28,G28:N28,P28)=0,"",IF($A28="","Nedostaje godište",IF($E28="","Godište nije obuhvaćeno uzrasnom tabelom",IF($B28="","Nedostaje ime i prezime",IF(NOT(SUMPRODUCT(--ISERROR(FIND(MID($B28&amp;REPT("a",60),ROW($A$1:$A$60),1),"ABCDEFGHIJKLMNOPQRSTUVWXYZabcdefghijklmnopqrstuvwxyzČĆĐŠŽčćđšž -'")))=0),"Ime sadrži znakove koji nisu slova",IF($C28="","Nedostaje pol",IF($D28="","Nedostaje pojas",IF(COUNTA(G28:N28)=0,"Nije izabrana nijedna disciplina",IF(SUMPRODUCT(--(G28:N28&lt;&gt;""),--(COUNTIF(INDIRECT("disc_"&amp;$E28),G28:N28)=0))&gt;0,"Izabrana disciplina nije moguća za uzrast "&amp;$E28,IF(AND(COUNTIF(G28:N28,"Fudokan sport kumite")&gt;0,O28=""),"Nedostaje telesna težina za Fudokan sport kumite",IF(AND(COUNTIF(G28:N28,"Fudokan sport kumite")=0,O28&lt;&gt;""),"Telesna težina se unosi isključivo uz Fudokan sport kumite",IF(AND(P28&lt;&gt;"",NOT(IFERROR(AND(UPPER(LEFT(P28,4))="FSS-",MID(P28,LEN(P28)-2,1)="/",ISNUMBER(VALUE(RIGHT(P28,2))),VALUE(MID(P28,5,LEN(P28)-7))&gt;=1,VALUE(MID(P28,5,LEN(P28)-7))=INT(VALUE(MID(P28,5,LEN(P28)-7)))),FALSE))),"FSS ID se upisuje u obliku FSS-12/26","prijava je kompletna"))))))))))))</f>
        <v/>
      </c>
      <c r="R28">
        <f>IF($E28="","sve_discipline","disc_"&amp;$E28)</f>
        <v/>
      </c>
      <c r="S28">
        <f>IF(OR($E28="",$C28=""),"sve_kilaze","kg_"&amp;$E28&amp;"_"&amp;IF($C28="ženski","Z","M"))</f>
        <v/>
      </c>
    </row>
    <row r="29" spans="1:19">
      <c r="A29" s="5"/>
      <c r="B29" s="5"/>
      <c r="C29" s="5"/>
      <c r="D29" s="5"/>
      <c r="E29" s="7">
        <f>IF($A29="","",LOOKUP($A29,INDEX(grupe,0,1),INDEX(grupe,0,2)))</f>
        <v/>
      </c>
      <c r="F29" s="7">
        <f>IF($E29="","",VLOOKUP($E29,INDEX(grupe,0,2):INDEX(grupe,0,3),2,FALSE))</f>
        <v/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8">
        <f>IF(COUNTA($A29:$D29,G29:N29,P29)=0,"",IF($A29="","Nedostaje godište",IF($E29="","Godište nije obuhvaćeno uzrasnom tabelom",IF($B29="","Nedostaje ime i prezime",IF(NOT(SUMPRODUCT(--ISERROR(FIND(MID($B29&amp;REPT("a",60),ROW($A$1:$A$60),1),"ABCDEFGHIJKLMNOPQRSTUVWXYZabcdefghijklmnopqrstuvwxyzČĆĐŠŽčćđšž -'")))=0),"Ime sadrži znakove koji nisu slova",IF($C29="","Nedostaje pol",IF($D29="","Nedostaje pojas",IF(COUNTA(G29:N29)=0,"Nije izabrana nijedna disciplina",IF(SUMPRODUCT(--(G29:N29&lt;&gt;""),--(COUNTIF(INDIRECT("disc_"&amp;$E29),G29:N29)=0))&gt;0,"Izabrana disciplina nije moguća za uzrast "&amp;$E29,IF(AND(COUNTIF(G29:N29,"Fudokan sport kumite")&gt;0,O29=""),"Nedostaje telesna težina za Fudokan sport kumite",IF(AND(COUNTIF(G29:N29,"Fudokan sport kumite")=0,O29&lt;&gt;""),"Telesna težina se unosi isključivo uz Fudokan sport kumite",IF(AND(P29&lt;&gt;"",NOT(IFERROR(AND(UPPER(LEFT(P29,4))="FSS-",MID(P29,LEN(P29)-2,1)="/",ISNUMBER(VALUE(RIGHT(P29,2))),VALUE(MID(P29,5,LEN(P29)-7))&gt;=1,VALUE(MID(P29,5,LEN(P29)-7))=INT(VALUE(MID(P29,5,LEN(P29)-7)))),FALSE))),"FSS ID se upisuje u obliku FSS-12/26","prijava je kompletna"))))))))))))</f>
        <v/>
      </c>
      <c r="R29">
        <f>IF($E29="","sve_discipline","disc_"&amp;$E29)</f>
        <v/>
      </c>
      <c r="S29">
        <f>IF(OR($E29="",$C29=""),"sve_kilaze","kg_"&amp;$E29&amp;"_"&amp;IF($C29="ženski","Z","M"))</f>
        <v/>
      </c>
    </row>
    <row r="30" spans="1:19">
      <c r="A30" s="5"/>
      <c r="B30" s="5"/>
      <c r="C30" s="5"/>
      <c r="D30" s="5"/>
      <c r="E30" s="7">
        <f>IF($A30="","",LOOKUP($A30,INDEX(grupe,0,1),INDEX(grupe,0,2)))</f>
        <v/>
      </c>
      <c r="F30" s="7">
        <f>IF($E30="","",VLOOKUP($E30,INDEX(grupe,0,2):INDEX(grupe,0,3),2,FALSE))</f>
        <v/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8">
        <f>IF(COUNTA($A30:$D30,G30:N30,P30)=0,"",IF($A30="","Nedostaje godište",IF($E30="","Godište nije obuhvaćeno uzrasnom tabelom",IF($B30="","Nedostaje ime i prezime",IF(NOT(SUMPRODUCT(--ISERROR(FIND(MID($B30&amp;REPT("a",60),ROW($A$1:$A$60),1),"ABCDEFGHIJKLMNOPQRSTUVWXYZabcdefghijklmnopqrstuvwxyzČĆĐŠŽčćđšž -'")))=0),"Ime sadrži znakove koji nisu slova",IF($C30="","Nedostaje pol",IF($D30="","Nedostaje pojas",IF(COUNTA(G30:N30)=0,"Nije izabrana nijedna disciplina",IF(SUMPRODUCT(--(G30:N30&lt;&gt;""),--(COUNTIF(INDIRECT("disc_"&amp;$E30),G30:N30)=0))&gt;0,"Izabrana disciplina nije moguća za uzrast "&amp;$E30,IF(AND(COUNTIF(G30:N30,"Fudokan sport kumite")&gt;0,O30=""),"Nedostaje telesna težina za Fudokan sport kumite",IF(AND(COUNTIF(G30:N30,"Fudokan sport kumite")=0,O30&lt;&gt;""),"Telesna težina se unosi isključivo uz Fudokan sport kumite",IF(AND(P30&lt;&gt;"",NOT(IFERROR(AND(UPPER(LEFT(P30,4))="FSS-",MID(P30,LEN(P30)-2,1)="/",ISNUMBER(VALUE(RIGHT(P30,2))),VALUE(MID(P30,5,LEN(P30)-7))&gt;=1,VALUE(MID(P30,5,LEN(P30)-7))=INT(VALUE(MID(P30,5,LEN(P30)-7)))),FALSE))),"FSS ID se upisuje u obliku FSS-12/26","prijava je kompletna"))))))))))))</f>
        <v/>
      </c>
      <c r="R30">
        <f>IF($E30="","sve_discipline","disc_"&amp;$E30)</f>
        <v/>
      </c>
      <c r="S30">
        <f>IF(OR($E30="",$C30=""),"sve_kilaze","kg_"&amp;$E30&amp;"_"&amp;IF($C30="ženski","Z","M"))</f>
        <v/>
      </c>
    </row>
    <row r="31" spans="1:19">
      <c r="A31" s="5"/>
      <c r="B31" s="5"/>
      <c r="C31" s="5"/>
      <c r="D31" s="5"/>
      <c r="E31" s="7">
        <f>IF($A31="","",LOOKUP($A31,INDEX(grupe,0,1),INDEX(grupe,0,2)))</f>
        <v/>
      </c>
      <c r="F31" s="7">
        <f>IF($E31="","",VLOOKUP($E31,INDEX(grupe,0,2):INDEX(grupe,0,3),2,FALSE))</f>
        <v/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8">
        <f>IF(COUNTA($A31:$D31,G31:N31,P31)=0,"",IF($A31="","Nedostaje godište",IF($E31="","Godište nije obuhvaćeno uzrasnom tabelom",IF($B31="","Nedostaje ime i prezime",IF(NOT(SUMPRODUCT(--ISERROR(FIND(MID($B31&amp;REPT("a",60),ROW($A$1:$A$60),1),"ABCDEFGHIJKLMNOPQRSTUVWXYZabcdefghijklmnopqrstuvwxyzČĆĐŠŽčćđšž -'")))=0),"Ime sadrži znakove koji nisu slova",IF($C31="","Nedostaje pol",IF($D31="","Nedostaje pojas",IF(COUNTA(G31:N31)=0,"Nije izabrana nijedna disciplina",IF(SUMPRODUCT(--(G31:N31&lt;&gt;""),--(COUNTIF(INDIRECT("disc_"&amp;$E31),G31:N31)=0))&gt;0,"Izabrana disciplina nije moguća za uzrast "&amp;$E31,IF(AND(COUNTIF(G31:N31,"Fudokan sport kumite")&gt;0,O31=""),"Nedostaje telesna težina za Fudokan sport kumite",IF(AND(COUNTIF(G31:N31,"Fudokan sport kumite")=0,O31&lt;&gt;""),"Telesna težina se unosi isključivo uz Fudokan sport kumite",IF(AND(P31&lt;&gt;"",NOT(IFERROR(AND(UPPER(LEFT(P31,4))="FSS-",MID(P31,LEN(P31)-2,1)="/",ISNUMBER(VALUE(RIGHT(P31,2))),VALUE(MID(P31,5,LEN(P31)-7))&gt;=1,VALUE(MID(P31,5,LEN(P31)-7))=INT(VALUE(MID(P31,5,LEN(P31)-7)))),FALSE))),"FSS ID se upisuje u obliku FSS-12/26","prijava je kompletna"))))))))))))</f>
        <v/>
      </c>
      <c r="R31">
        <f>IF($E31="","sve_discipline","disc_"&amp;$E31)</f>
        <v/>
      </c>
      <c r="S31">
        <f>IF(OR($E31="",$C31=""),"sve_kilaze","kg_"&amp;$E31&amp;"_"&amp;IF($C31="ženski","Z","M"))</f>
        <v/>
      </c>
    </row>
    <row r="32" spans="1:19">
      <c r="A32" s="5"/>
      <c r="B32" s="5"/>
      <c r="C32" s="5"/>
      <c r="D32" s="5"/>
      <c r="E32" s="7">
        <f>IF($A32="","",LOOKUP($A32,INDEX(grupe,0,1),INDEX(grupe,0,2)))</f>
        <v/>
      </c>
      <c r="F32" s="7">
        <f>IF($E32="","",VLOOKUP($E32,INDEX(grupe,0,2):INDEX(grupe,0,3),2,FALSE))</f>
        <v/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8">
        <f>IF(COUNTA($A32:$D32,G32:N32,P32)=0,"",IF($A32="","Nedostaje godište",IF($E32="","Godište nije obuhvaćeno uzrasnom tabelom",IF($B32="","Nedostaje ime i prezime",IF(NOT(SUMPRODUCT(--ISERROR(FIND(MID($B32&amp;REPT("a",60),ROW($A$1:$A$60),1),"ABCDEFGHIJKLMNOPQRSTUVWXYZabcdefghijklmnopqrstuvwxyzČĆĐŠŽčćđšž -'")))=0),"Ime sadrži znakove koji nisu slova",IF($C32="","Nedostaje pol",IF($D32="","Nedostaje pojas",IF(COUNTA(G32:N32)=0,"Nije izabrana nijedna disciplina",IF(SUMPRODUCT(--(G32:N32&lt;&gt;""),--(COUNTIF(INDIRECT("disc_"&amp;$E32),G32:N32)=0))&gt;0,"Izabrana disciplina nije moguća za uzrast "&amp;$E32,IF(AND(COUNTIF(G32:N32,"Fudokan sport kumite")&gt;0,O32=""),"Nedostaje telesna težina za Fudokan sport kumite",IF(AND(COUNTIF(G32:N32,"Fudokan sport kumite")=0,O32&lt;&gt;""),"Telesna težina se unosi isključivo uz Fudokan sport kumite",IF(AND(P32&lt;&gt;"",NOT(IFERROR(AND(UPPER(LEFT(P32,4))="FSS-",MID(P32,LEN(P32)-2,1)="/",ISNUMBER(VALUE(RIGHT(P32,2))),VALUE(MID(P32,5,LEN(P32)-7))&gt;=1,VALUE(MID(P32,5,LEN(P32)-7))=INT(VALUE(MID(P32,5,LEN(P32)-7)))),FALSE))),"FSS ID se upisuje u obliku FSS-12/26","prijava je kompletna"))))))))))))</f>
        <v/>
      </c>
      <c r="R32">
        <f>IF($E32="","sve_discipline","disc_"&amp;$E32)</f>
        <v/>
      </c>
      <c r="S32">
        <f>IF(OR($E32="",$C32=""),"sve_kilaze","kg_"&amp;$E32&amp;"_"&amp;IF($C32="ženski","Z","M"))</f>
        <v/>
      </c>
    </row>
    <row r="33" spans="1:19">
      <c r="A33" s="5"/>
      <c r="B33" s="5"/>
      <c r="C33" s="5"/>
      <c r="D33" s="5"/>
      <c r="E33" s="7">
        <f>IF($A33="","",LOOKUP($A33,INDEX(grupe,0,1),INDEX(grupe,0,2)))</f>
        <v/>
      </c>
      <c r="F33" s="7">
        <f>IF($E33="","",VLOOKUP($E33,INDEX(grupe,0,2):INDEX(grupe,0,3),2,FALSE))</f>
        <v/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8">
        <f>IF(COUNTA($A33:$D33,G33:N33,P33)=0,"",IF($A33="","Nedostaje godište",IF($E33="","Godište nije obuhvaćeno uzrasnom tabelom",IF($B33="","Nedostaje ime i prezime",IF(NOT(SUMPRODUCT(--ISERROR(FIND(MID($B33&amp;REPT("a",60),ROW($A$1:$A$60),1),"ABCDEFGHIJKLMNOPQRSTUVWXYZabcdefghijklmnopqrstuvwxyzČĆĐŠŽčćđšž -'")))=0),"Ime sadrži znakove koji nisu slova",IF($C33="","Nedostaje pol",IF($D33="","Nedostaje pojas",IF(COUNTA(G33:N33)=0,"Nije izabrana nijedna disciplina",IF(SUMPRODUCT(--(G33:N33&lt;&gt;""),--(COUNTIF(INDIRECT("disc_"&amp;$E33),G33:N33)=0))&gt;0,"Izabrana disciplina nije moguća za uzrast "&amp;$E33,IF(AND(COUNTIF(G33:N33,"Fudokan sport kumite")&gt;0,O33=""),"Nedostaje telesna težina za Fudokan sport kumite",IF(AND(COUNTIF(G33:N33,"Fudokan sport kumite")=0,O33&lt;&gt;""),"Telesna težina se unosi isključivo uz Fudokan sport kumite",IF(AND(P33&lt;&gt;"",NOT(IFERROR(AND(UPPER(LEFT(P33,4))="FSS-",MID(P33,LEN(P33)-2,1)="/",ISNUMBER(VALUE(RIGHT(P33,2))),VALUE(MID(P33,5,LEN(P33)-7))&gt;=1,VALUE(MID(P33,5,LEN(P33)-7))=INT(VALUE(MID(P33,5,LEN(P33)-7)))),FALSE))),"FSS ID se upisuje u obliku FSS-12/26","prijava je kompletna"))))))))))))</f>
        <v/>
      </c>
      <c r="R33">
        <f>IF($E33="","sve_discipline","disc_"&amp;$E33)</f>
        <v/>
      </c>
      <c r="S33">
        <f>IF(OR($E33="",$C33=""),"sve_kilaze","kg_"&amp;$E33&amp;"_"&amp;IF($C33="ženski","Z","M"))</f>
        <v/>
      </c>
    </row>
    <row r="34" spans="1:19">
      <c r="A34" s="5"/>
      <c r="B34" s="5"/>
      <c r="C34" s="5"/>
      <c r="D34" s="5"/>
      <c r="E34" s="7">
        <f>IF($A34="","",LOOKUP($A34,INDEX(grupe,0,1),INDEX(grupe,0,2)))</f>
        <v/>
      </c>
      <c r="F34" s="7">
        <f>IF($E34="","",VLOOKUP($E34,INDEX(grupe,0,2):INDEX(grupe,0,3),2,FALSE))</f>
        <v/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8">
        <f>IF(COUNTA($A34:$D34,G34:N34,P34)=0,"",IF($A34="","Nedostaje godište",IF($E34="","Godište nije obuhvaćeno uzrasnom tabelom",IF($B34="","Nedostaje ime i prezime",IF(NOT(SUMPRODUCT(--ISERROR(FIND(MID($B34&amp;REPT("a",60),ROW($A$1:$A$60),1),"ABCDEFGHIJKLMNOPQRSTUVWXYZabcdefghijklmnopqrstuvwxyzČĆĐŠŽčćđšž -'")))=0),"Ime sadrži znakove koji nisu slova",IF($C34="","Nedostaje pol",IF($D34="","Nedostaje pojas",IF(COUNTA(G34:N34)=0,"Nije izabrana nijedna disciplina",IF(SUMPRODUCT(--(G34:N34&lt;&gt;""),--(COUNTIF(INDIRECT("disc_"&amp;$E34),G34:N34)=0))&gt;0,"Izabrana disciplina nije moguća za uzrast "&amp;$E34,IF(AND(COUNTIF(G34:N34,"Fudokan sport kumite")&gt;0,O34=""),"Nedostaje telesna težina za Fudokan sport kumite",IF(AND(COUNTIF(G34:N34,"Fudokan sport kumite")=0,O34&lt;&gt;""),"Telesna težina se unosi isključivo uz Fudokan sport kumite",IF(AND(P34&lt;&gt;"",NOT(IFERROR(AND(UPPER(LEFT(P34,4))="FSS-",MID(P34,LEN(P34)-2,1)="/",ISNUMBER(VALUE(RIGHT(P34,2))),VALUE(MID(P34,5,LEN(P34)-7))&gt;=1,VALUE(MID(P34,5,LEN(P34)-7))=INT(VALUE(MID(P34,5,LEN(P34)-7)))),FALSE))),"FSS ID se upisuje u obliku FSS-12/26","prijava je kompletna"))))))))))))</f>
        <v/>
      </c>
      <c r="R34">
        <f>IF($E34="","sve_discipline","disc_"&amp;$E34)</f>
        <v/>
      </c>
      <c r="S34">
        <f>IF(OR($E34="",$C34=""),"sve_kilaze","kg_"&amp;$E34&amp;"_"&amp;IF($C34="ženski","Z","M"))</f>
        <v/>
      </c>
    </row>
    <row r="35" spans="1:19">
      <c r="A35" s="5"/>
      <c r="B35" s="5"/>
      <c r="C35" s="5"/>
      <c r="D35" s="5"/>
      <c r="E35" s="7">
        <f>IF($A35="","",LOOKUP($A35,INDEX(grupe,0,1),INDEX(grupe,0,2)))</f>
        <v/>
      </c>
      <c r="F35" s="7">
        <f>IF($E35="","",VLOOKUP($E35,INDEX(grupe,0,2):INDEX(grupe,0,3),2,FALSE))</f>
        <v/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8">
        <f>IF(COUNTA($A35:$D35,G35:N35,P35)=0,"",IF($A35="","Nedostaje godište",IF($E35="","Godište nije obuhvaćeno uzrasnom tabelom",IF($B35="","Nedostaje ime i prezime",IF(NOT(SUMPRODUCT(--ISERROR(FIND(MID($B35&amp;REPT("a",60),ROW($A$1:$A$60),1),"ABCDEFGHIJKLMNOPQRSTUVWXYZabcdefghijklmnopqrstuvwxyzČĆĐŠŽčćđšž -'")))=0),"Ime sadrži znakove koji nisu slova",IF($C35="","Nedostaje pol",IF($D35="","Nedostaje pojas",IF(COUNTA(G35:N35)=0,"Nije izabrana nijedna disciplina",IF(SUMPRODUCT(--(G35:N35&lt;&gt;""),--(COUNTIF(INDIRECT("disc_"&amp;$E35),G35:N35)=0))&gt;0,"Izabrana disciplina nije moguća za uzrast "&amp;$E35,IF(AND(COUNTIF(G35:N35,"Fudokan sport kumite")&gt;0,O35=""),"Nedostaje telesna težina za Fudokan sport kumite",IF(AND(COUNTIF(G35:N35,"Fudokan sport kumite")=0,O35&lt;&gt;""),"Telesna težina se unosi isključivo uz Fudokan sport kumite",IF(AND(P35&lt;&gt;"",NOT(IFERROR(AND(UPPER(LEFT(P35,4))="FSS-",MID(P35,LEN(P35)-2,1)="/",ISNUMBER(VALUE(RIGHT(P35,2))),VALUE(MID(P35,5,LEN(P35)-7))&gt;=1,VALUE(MID(P35,5,LEN(P35)-7))=INT(VALUE(MID(P35,5,LEN(P35)-7)))),FALSE))),"FSS ID se upisuje u obliku FSS-12/26","prijava je kompletna"))))))))))))</f>
        <v/>
      </c>
      <c r="R35">
        <f>IF($E35="","sve_discipline","disc_"&amp;$E35)</f>
        <v/>
      </c>
      <c r="S35">
        <f>IF(OR($E35="",$C35=""),"sve_kilaze","kg_"&amp;$E35&amp;"_"&amp;IF($C35="ženski","Z","M"))</f>
        <v/>
      </c>
    </row>
    <row r="36" spans="1:19">
      <c r="A36" s="5"/>
      <c r="B36" s="5"/>
      <c r="C36" s="5"/>
      <c r="D36" s="5"/>
      <c r="E36" s="7">
        <f>IF($A36="","",LOOKUP($A36,INDEX(grupe,0,1),INDEX(grupe,0,2)))</f>
        <v/>
      </c>
      <c r="F36" s="7">
        <f>IF($E36="","",VLOOKUP($E36,INDEX(grupe,0,2):INDEX(grupe,0,3),2,FALSE))</f>
        <v/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8">
        <f>IF(COUNTA($A36:$D36,G36:N36,P36)=0,"",IF($A36="","Nedostaje godište",IF($E36="","Godište nije obuhvaćeno uzrasnom tabelom",IF($B36="","Nedostaje ime i prezime",IF(NOT(SUMPRODUCT(--ISERROR(FIND(MID($B36&amp;REPT("a",60),ROW($A$1:$A$60),1),"ABCDEFGHIJKLMNOPQRSTUVWXYZabcdefghijklmnopqrstuvwxyzČĆĐŠŽčćđšž -'")))=0),"Ime sadrži znakove koji nisu slova",IF($C36="","Nedostaje pol",IF($D36="","Nedostaje pojas",IF(COUNTA(G36:N36)=0,"Nije izabrana nijedna disciplina",IF(SUMPRODUCT(--(G36:N36&lt;&gt;""),--(COUNTIF(INDIRECT("disc_"&amp;$E36),G36:N36)=0))&gt;0,"Izabrana disciplina nije moguća za uzrast "&amp;$E36,IF(AND(COUNTIF(G36:N36,"Fudokan sport kumite")&gt;0,O36=""),"Nedostaje telesna težina za Fudokan sport kumite",IF(AND(COUNTIF(G36:N36,"Fudokan sport kumite")=0,O36&lt;&gt;""),"Telesna težina se unosi isključivo uz Fudokan sport kumite",IF(AND(P36&lt;&gt;"",NOT(IFERROR(AND(UPPER(LEFT(P36,4))="FSS-",MID(P36,LEN(P36)-2,1)="/",ISNUMBER(VALUE(RIGHT(P36,2))),VALUE(MID(P36,5,LEN(P36)-7))&gt;=1,VALUE(MID(P36,5,LEN(P36)-7))=INT(VALUE(MID(P36,5,LEN(P36)-7)))),FALSE))),"FSS ID se upisuje u obliku FSS-12/26","prijava je kompletna"))))))))))))</f>
        <v/>
      </c>
      <c r="R36">
        <f>IF($E36="","sve_discipline","disc_"&amp;$E36)</f>
        <v/>
      </c>
      <c r="S36">
        <f>IF(OR($E36="",$C36=""),"sve_kilaze","kg_"&amp;$E36&amp;"_"&amp;IF($C36="ženski","Z","M"))</f>
        <v/>
      </c>
    </row>
    <row r="37" spans="1:19">
      <c r="A37" s="5"/>
      <c r="B37" s="5"/>
      <c r="C37" s="5"/>
      <c r="D37" s="5"/>
      <c r="E37" s="7">
        <f>IF($A37="","",LOOKUP($A37,INDEX(grupe,0,1),INDEX(grupe,0,2)))</f>
        <v/>
      </c>
      <c r="F37" s="7">
        <f>IF($E37="","",VLOOKUP($E37,INDEX(grupe,0,2):INDEX(grupe,0,3),2,FALSE))</f>
        <v/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8">
        <f>IF(COUNTA($A37:$D37,G37:N37,P37)=0,"",IF($A37="","Nedostaje godište",IF($E37="","Godište nije obuhvaćeno uzrasnom tabelom",IF($B37="","Nedostaje ime i prezime",IF(NOT(SUMPRODUCT(--ISERROR(FIND(MID($B37&amp;REPT("a",60),ROW($A$1:$A$60),1),"ABCDEFGHIJKLMNOPQRSTUVWXYZabcdefghijklmnopqrstuvwxyzČĆĐŠŽčćđšž -'")))=0),"Ime sadrži znakove koji nisu slova",IF($C37="","Nedostaje pol",IF($D37="","Nedostaje pojas",IF(COUNTA(G37:N37)=0,"Nije izabrana nijedna disciplina",IF(SUMPRODUCT(--(G37:N37&lt;&gt;""),--(COUNTIF(INDIRECT("disc_"&amp;$E37),G37:N37)=0))&gt;0,"Izabrana disciplina nije moguća za uzrast "&amp;$E37,IF(AND(COUNTIF(G37:N37,"Fudokan sport kumite")&gt;0,O37=""),"Nedostaje telesna težina za Fudokan sport kumite",IF(AND(COUNTIF(G37:N37,"Fudokan sport kumite")=0,O37&lt;&gt;""),"Telesna težina se unosi isključivo uz Fudokan sport kumite",IF(AND(P37&lt;&gt;"",NOT(IFERROR(AND(UPPER(LEFT(P37,4))="FSS-",MID(P37,LEN(P37)-2,1)="/",ISNUMBER(VALUE(RIGHT(P37,2))),VALUE(MID(P37,5,LEN(P37)-7))&gt;=1,VALUE(MID(P37,5,LEN(P37)-7))=INT(VALUE(MID(P37,5,LEN(P37)-7)))),FALSE))),"FSS ID se upisuje u obliku FSS-12/26","prijava je kompletna"))))))))))))</f>
        <v/>
      </c>
      <c r="R37">
        <f>IF($E37="","sve_discipline","disc_"&amp;$E37)</f>
        <v/>
      </c>
      <c r="S37">
        <f>IF(OR($E37="",$C37=""),"sve_kilaze","kg_"&amp;$E37&amp;"_"&amp;IF($C37="ženski","Z","M"))</f>
        <v/>
      </c>
    </row>
    <row r="38" spans="1:19">
      <c r="A38" s="5"/>
      <c r="B38" s="5"/>
      <c r="C38" s="5"/>
      <c r="D38" s="5"/>
      <c r="E38" s="7">
        <f>IF($A38="","",LOOKUP($A38,INDEX(grupe,0,1),INDEX(grupe,0,2)))</f>
        <v/>
      </c>
      <c r="F38" s="7">
        <f>IF($E38="","",VLOOKUP($E38,INDEX(grupe,0,2):INDEX(grupe,0,3),2,FALSE))</f>
        <v/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8">
        <f>IF(COUNTA($A38:$D38,G38:N38,P38)=0,"",IF($A38="","Nedostaje godište",IF($E38="","Godište nije obuhvaćeno uzrasnom tabelom",IF($B38="","Nedostaje ime i prezime",IF(NOT(SUMPRODUCT(--ISERROR(FIND(MID($B38&amp;REPT("a",60),ROW($A$1:$A$60),1),"ABCDEFGHIJKLMNOPQRSTUVWXYZabcdefghijklmnopqrstuvwxyzČĆĐŠŽčćđšž -'")))=0),"Ime sadrži znakove koji nisu slova",IF($C38="","Nedostaje pol",IF($D38="","Nedostaje pojas",IF(COUNTA(G38:N38)=0,"Nije izabrana nijedna disciplina",IF(SUMPRODUCT(--(G38:N38&lt;&gt;""),--(COUNTIF(INDIRECT("disc_"&amp;$E38),G38:N38)=0))&gt;0,"Izabrana disciplina nije moguća za uzrast "&amp;$E38,IF(AND(COUNTIF(G38:N38,"Fudokan sport kumite")&gt;0,O38=""),"Nedostaje telesna težina za Fudokan sport kumite",IF(AND(COUNTIF(G38:N38,"Fudokan sport kumite")=0,O38&lt;&gt;""),"Telesna težina se unosi isključivo uz Fudokan sport kumite",IF(AND(P38&lt;&gt;"",NOT(IFERROR(AND(UPPER(LEFT(P38,4))="FSS-",MID(P38,LEN(P38)-2,1)="/",ISNUMBER(VALUE(RIGHT(P38,2))),VALUE(MID(P38,5,LEN(P38)-7))&gt;=1,VALUE(MID(P38,5,LEN(P38)-7))=INT(VALUE(MID(P38,5,LEN(P38)-7)))),FALSE))),"FSS ID se upisuje u obliku FSS-12/26","prijava je kompletna"))))))))))))</f>
        <v/>
      </c>
      <c r="R38">
        <f>IF($E38="","sve_discipline","disc_"&amp;$E38)</f>
        <v/>
      </c>
      <c r="S38">
        <f>IF(OR($E38="",$C38=""),"sve_kilaze","kg_"&amp;$E38&amp;"_"&amp;IF($C38="ženski","Z","M"))</f>
        <v/>
      </c>
    </row>
    <row r="39" spans="1:19">
      <c r="A39" s="5"/>
      <c r="B39" s="5"/>
      <c r="C39" s="5"/>
      <c r="D39" s="5"/>
      <c r="E39" s="7">
        <f>IF($A39="","",LOOKUP($A39,INDEX(grupe,0,1),INDEX(grupe,0,2)))</f>
        <v/>
      </c>
      <c r="F39" s="7">
        <f>IF($E39="","",VLOOKUP($E39,INDEX(grupe,0,2):INDEX(grupe,0,3),2,FALSE))</f>
        <v/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8">
        <f>IF(COUNTA($A39:$D39,G39:N39,P39)=0,"",IF($A39="","Nedostaje godište",IF($E39="","Godište nije obuhvaćeno uzrasnom tabelom",IF($B39="","Nedostaje ime i prezime",IF(NOT(SUMPRODUCT(--ISERROR(FIND(MID($B39&amp;REPT("a",60),ROW($A$1:$A$60),1),"ABCDEFGHIJKLMNOPQRSTUVWXYZabcdefghijklmnopqrstuvwxyzČĆĐŠŽčćđšž -'")))=0),"Ime sadrži znakove koji nisu slova",IF($C39="","Nedostaje pol",IF($D39="","Nedostaje pojas",IF(COUNTA(G39:N39)=0,"Nije izabrana nijedna disciplina",IF(SUMPRODUCT(--(G39:N39&lt;&gt;""),--(COUNTIF(INDIRECT("disc_"&amp;$E39),G39:N39)=0))&gt;0,"Izabrana disciplina nije moguća za uzrast "&amp;$E39,IF(AND(COUNTIF(G39:N39,"Fudokan sport kumite")&gt;0,O39=""),"Nedostaje telesna težina za Fudokan sport kumite",IF(AND(COUNTIF(G39:N39,"Fudokan sport kumite")=0,O39&lt;&gt;""),"Telesna težina se unosi isključivo uz Fudokan sport kumite",IF(AND(P39&lt;&gt;"",NOT(IFERROR(AND(UPPER(LEFT(P39,4))="FSS-",MID(P39,LEN(P39)-2,1)="/",ISNUMBER(VALUE(RIGHT(P39,2))),VALUE(MID(P39,5,LEN(P39)-7))&gt;=1,VALUE(MID(P39,5,LEN(P39)-7))=INT(VALUE(MID(P39,5,LEN(P39)-7)))),FALSE))),"FSS ID se upisuje u obliku FSS-12/26","prijava je kompletna"))))))))))))</f>
        <v/>
      </c>
      <c r="R39">
        <f>IF($E39="","sve_discipline","disc_"&amp;$E39)</f>
        <v/>
      </c>
      <c r="S39">
        <f>IF(OR($E39="",$C39=""),"sve_kilaze","kg_"&amp;$E39&amp;"_"&amp;IF($C39="ženski","Z","M"))</f>
        <v/>
      </c>
    </row>
    <row r="40" spans="1:19">
      <c r="A40" s="5"/>
      <c r="B40" s="5"/>
      <c r="C40" s="5"/>
      <c r="D40" s="5"/>
      <c r="E40" s="7">
        <f>IF($A40="","",LOOKUP($A40,INDEX(grupe,0,1),INDEX(grupe,0,2)))</f>
        <v/>
      </c>
      <c r="F40" s="7">
        <f>IF($E40="","",VLOOKUP($E40,INDEX(grupe,0,2):INDEX(grupe,0,3),2,FALSE))</f>
        <v/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8">
        <f>IF(COUNTA($A40:$D40,G40:N40,P40)=0,"",IF($A40="","Nedostaje godište",IF($E40="","Godište nije obuhvaćeno uzrasnom tabelom",IF($B40="","Nedostaje ime i prezime",IF(NOT(SUMPRODUCT(--ISERROR(FIND(MID($B40&amp;REPT("a",60),ROW($A$1:$A$60),1),"ABCDEFGHIJKLMNOPQRSTUVWXYZabcdefghijklmnopqrstuvwxyzČĆĐŠŽčćđšž -'")))=0),"Ime sadrži znakove koji nisu slova",IF($C40="","Nedostaje pol",IF($D40="","Nedostaje pojas",IF(COUNTA(G40:N40)=0,"Nije izabrana nijedna disciplina",IF(SUMPRODUCT(--(G40:N40&lt;&gt;""),--(COUNTIF(INDIRECT("disc_"&amp;$E40),G40:N40)=0))&gt;0,"Izabrana disciplina nije moguća za uzrast "&amp;$E40,IF(AND(COUNTIF(G40:N40,"Fudokan sport kumite")&gt;0,O40=""),"Nedostaje telesna težina za Fudokan sport kumite",IF(AND(COUNTIF(G40:N40,"Fudokan sport kumite")=0,O40&lt;&gt;""),"Telesna težina se unosi isključivo uz Fudokan sport kumite",IF(AND(P40&lt;&gt;"",NOT(IFERROR(AND(UPPER(LEFT(P40,4))="FSS-",MID(P40,LEN(P40)-2,1)="/",ISNUMBER(VALUE(RIGHT(P40,2))),VALUE(MID(P40,5,LEN(P40)-7))&gt;=1,VALUE(MID(P40,5,LEN(P40)-7))=INT(VALUE(MID(P40,5,LEN(P40)-7)))),FALSE))),"FSS ID se upisuje u obliku FSS-12/26","prijava je kompletna"))))))))))))</f>
        <v/>
      </c>
      <c r="R40">
        <f>IF($E40="","sve_discipline","disc_"&amp;$E40)</f>
        <v/>
      </c>
      <c r="S40">
        <f>IF(OR($E40="",$C40=""),"sve_kilaze","kg_"&amp;$E40&amp;"_"&amp;IF($C40="ženski","Z","M"))</f>
        <v/>
      </c>
    </row>
    <row r="41" spans="1:19">
      <c r="A41" s="5"/>
      <c r="B41" s="5"/>
      <c r="C41" s="5"/>
      <c r="D41" s="5"/>
      <c r="E41" s="7">
        <f>IF($A41="","",LOOKUP($A41,INDEX(grupe,0,1),INDEX(grupe,0,2)))</f>
        <v/>
      </c>
      <c r="F41" s="7">
        <f>IF($E41="","",VLOOKUP($E41,INDEX(grupe,0,2):INDEX(grupe,0,3),2,FALSE))</f>
        <v/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8">
        <f>IF(COUNTA($A41:$D41,G41:N41,P41)=0,"",IF($A41="","Nedostaje godište",IF($E41="","Godište nije obuhvaćeno uzrasnom tabelom",IF($B41="","Nedostaje ime i prezime",IF(NOT(SUMPRODUCT(--ISERROR(FIND(MID($B41&amp;REPT("a",60),ROW($A$1:$A$60),1),"ABCDEFGHIJKLMNOPQRSTUVWXYZabcdefghijklmnopqrstuvwxyzČĆĐŠŽčćđšž -'")))=0),"Ime sadrži znakove koji nisu slova",IF($C41="","Nedostaje pol",IF($D41="","Nedostaje pojas",IF(COUNTA(G41:N41)=0,"Nije izabrana nijedna disciplina",IF(SUMPRODUCT(--(G41:N41&lt;&gt;""),--(COUNTIF(INDIRECT("disc_"&amp;$E41),G41:N41)=0))&gt;0,"Izabrana disciplina nije moguća za uzrast "&amp;$E41,IF(AND(COUNTIF(G41:N41,"Fudokan sport kumite")&gt;0,O41=""),"Nedostaje telesna težina za Fudokan sport kumite",IF(AND(COUNTIF(G41:N41,"Fudokan sport kumite")=0,O41&lt;&gt;""),"Telesna težina se unosi isključivo uz Fudokan sport kumite",IF(AND(P41&lt;&gt;"",NOT(IFERROR(AND(UPPER(LEFT(P41,4))="FSS-",MID(P41,LEN(P41)-2,1)="/",ISNUMBER(VALUE(RIGHT(P41,2))),VALUE(MID(P41,5,LEN(P41)-7))&gt;=1,VALUE(MID(P41,5,LEN(P41)-7))=INT(VALUE(MID(P41,5,LEN(P41)-7)))),FALSE))),"FSS ID se upisuje u obliku FSS-12/26","prijava je kompletna"))))))))))))</f>
        <v/>
      </c>
      <c r="R41">
        <f>IF($E41="","sve_discipline","disc_"&amp;$E41)</f>
        <v/>
      </c>
      <c r="S41">
        <f>IF(OR($E41="",$C41=""),"sve_kilaze","kg_"&amp;$E41&amp;"_"&amp;IF($C41="ženski","Z","M"))</f>
        <v/>
      </c>
    </row>
    <row r="42" spans="1:19">
      <c r="A42" s="5"/>
      <c r="B42" s="5"/>
      <c r="C42" s="5"/>
      <c r="D42" s="5"/>
      <c r="E42" s="7">
        <f>IF($A42="","",LOOKUP($A42,INDEX(grupe,0,1),INDEX(grupe,0,2)))</f>
        <v/>
      </c>
      <c r="F42" s="7">
        <f>IF($E42="","",VLOOKUP($E42,INDEX(grupe,0,2):INDEX(grupe,0,3),2,FALSE))</f>
        <v/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8">
        <f>IF(COUNTA($A42:$D42,G42:N42,P42)=0,"",IF($A42="","Nedostaje godište",IF($E42="","Godište nije obuhvaćeno uzrasnom tabelom",IF($B42="","Nedostaje ime i prezime",IF(NOT(SUMPRODUCT(--ISERROR(FIND(MID($B42&amp;REPT("a",60),ROW($A$1:$A$60),1),"ABCDEFGHIJKLMNOPQRSTUVWXYZabcdefghijklmnopqrstuvwxyzČĆĐŠŽčćđšž -'")))=0),"Ime sadrži znakove koji nisu slova",IF($C42="","Nedostaje pol",IF($D42="","Nedostaje pojas",IF(COUNTA(G42:N42)=0,"Nije izabrana nijedna disciplina",IF(SUMPRODUCT(--(G42:N42&lt;&gt;""),--(COUNTIF(INDIRECT("disc_"&amp;$E42),G42:N42)=0))&gt;0,"Izabrana disciplina nije moguća za uzrast "&amp;$E42,IF(AND(COUNTIF(G42:N42,"Fudokan sport kumite")&gt;0,O42=""),"Nedostaje telesna težina za Fudokan sport kumite",IF(AND(COUNTIF(G42:N42,"Fudokan sport kumite")=0,O42&lt;&gt;""),"Telesna težina se unosi isključivo uz Fudokan sport kumite",IF(AND(P42&lt;&gt;"",NOT(IFERROR(AND(UPPER(LEFT(P42,4))="FSS-",MID(P42,LEN(P42)-2,1)="/",ISNUMBER(VALUE(RIGHT(P42,2))),VALUE(MID(P42,5,LEN(P42)-7))&gt;=1,VALUE(MID(P42,5,LEN(P42)-7))=INT(VALUE(MID(P42,5,LEN(P42)-7)))),FALSE))),"FSS ID se upisuje u obliku FSS-12/26","prijava je kompletna"))))))))))))</f>
        <v/>
      </c>
      <c r="R42">
        <f>IF($E42="","sve_discipline","disc_"&amp;$E42)</f>
        <v/>
      </c>
      <c r="S42">
        <f>IF(OR($E42="",$C42=""),"sve_kilaze","kg_"&amp;$E42&amp;"_"&amp;IF($C42="ženski","Z","M"))</f>
        <v/>
      </c>
    </row>
    <row r="43" spans="1:19">
      <c r="A43" s="5"/>
      <c r="B43" s="5"/>
      <c r="C43" s="5"/>
      <c r="D43" s="5"/>
      <c r="E43" s="7">
        <f>IF($A43="","",LOOKUP($A43,INDEX(grupe,0,1),INDEX(grupe,0,2)))</f>
        <v/>
      </c>
      <c r="F43" s="7">
        <f>IF($E43="","",VLOOKUP($E43,INDEX(grupe,0,2):INDEX(grupe,0,3),2,FALSE))</f>
        <v/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8">
        <f>IF(COUNTA($A43:$D43,G43:N43,P43)=0,"",IF($A43="","Nedostaje godište",IF($E43="","Godište nije obuhvaćeno uzrasnom tabelom",IF($B43="","Nedostaje ime i prezime",IF(NOT(SUMPRODUCT(--ISERROR(FIND(MID($B43&amp;REPT("a",60),ROW($A$1:$A$60),1),"ABCDEFGHIJKLMNOPQRSTUVWXYZabcdefghijklmnopqrstuvwxyzČĆĐŠŽčćđšž -'")))=0),"Ime sadrži znakove koji nisu slova",IF($C43="","Nedostaje pol",IF($D43="","Nedostaje pojas",IF(COUNTA(G43:N43)=0,"Nije izabrana nijedna disciplina",IF(SUMPRODUCT(--(G43:N43&lt;&gt;""),--(COUNTIF(INDIRECT("disc_"&amp;$E43),G43:N43)=0))&gt;0,"Izabrana disciplina nije moguća za uzrast "&amp;$E43,IF(AND(COUNTIF(G43:N43,"Fudokan sport kumite")&gt;0,O43=""),"Nedostaje telesna težina za Fudokan sport kumite",IF(AND(COUNTIF(G43:N43,"Fudokan sport kumite")=0,O43&lt;&gt;""),"Telesna težina se unosi isključivo uz Fudokan sport kumite",IF(AND(P43&lt;&gt;"",NOT(IFERROR(AND(UPPER(LEFT(P43,4))="FSS-",MID(P43,LEN(P43)-2,1)="/",ISNUMBER(VALUE(RIGHT(P43,2))),VALUE(MID(P43,5,LEN(P43)-7))&gt;=1,VALUE(MID(P43,5,LEN(P43)-7))=INT(VALUE(MID(P43,5,LEN(P43)-7)))),FALSE))),"FSS ID se upisuje u obliku FSS-12/26","prijava je kompletna"))))))))))))</f>
        <v/>
      </c>
      <c r="R43">
        <f>IF($E43="","sve_discipline","disc_"&amp;$E43)</f>
        <v/>
      </c>
      <c r="S43">
        <f>IF(OR($E43="",$C43=""),"sve_kilaze","kg_"&amp;$E43&amp;"_"&amp;IF($C43="ženski","Z","M"))</f>
        <v/>
      </c>
    </row>
    <row r="44" spans="1:19">
      <c r="A44" s="5"/>
      <c r="B44" s="5"/>
      <c r="C44" s="5"/>
      <c r="D44" s="5"/>
      <c r="E44" s="7">
        <f>IF($A44="","",LOOKUP($A44,INDEX(grupe,0,1),INDEX(grupe,0,2)))</f>
        <v/>
      </c>
      <c r="F44" s="7">
        <f>IF($E44="","",VLOOKUP($E44,INDEX(grupe,0,2):INDEX(grupe,0,3),2,FALSE))</f>
        <v/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8">
        <f>IF(COUNTA($A44:$D44,G44:N44,P44)=0,"",IF($A44="","Nedostaje godište",IF($E44="","Godište nije obuhvaćeno uzrasnom tabelom",IF($B44="","Nedostaje ime i prezime",IF(NOT(SUMPRODUCT(--ISERROR(FIND(MID($B44&amp;REPT("a",60),ROW($A$1:$A$60),1),"ABCDEFGHIJKLMNOPQRSTUVWXYZabcdefghijklmnopqrstuvwxyzČĆĐŠŽčćđšž -'")))=0),"Ime sadrži znakove koji nisu slova",IF($C44="","Nedostaje pol",IF($D44="","Nedostaje pojas",IF(COUNTA(G44:N44)=0,"Nije izabrana nijedna disciplina",IF(SUMPRODUCT(--(G44:N44&lt;&gt;""),--(COUNTIF(INDIRECT("disc_"&amp;$E44),G44:N44)=0))&gt;0,"Izabrana disciplina nije moguća za uzrast "&amp;$E44,IF(AND(COUNTIF(G44:N44,"Fudokan sport kumite")&gt;0,O44=""),"Nedostaje telesna težina za Fudokan sport kumite",IF(AND(COUNTIF(G44:N44,"Fudokan sport kumite")=0,O44&lt;&gt;""),"Telesna težina se unosi isključivo uz Fudokan sport kumite",IF(AND(P44&lt;&gt;"",NOT(IFERROR(AND(UPPER(LEFT(P44,4))="FSS-",MID(P44,LEN(P44)-2,1)="/",ISNUMBER(VALUE(RIGHT(P44,2))),VALUE(MID(P44,5,LEN(P44)-7))&gt;=1,VALUE(MID(P44,5,LEN(P44)-7))=INT(VALUE(MID(P44,5,LEN(P44)-7)))),FALSE))),"FSS ID se upisuje u obliku FSS-12/26","prijava je kompletna"))))))))))))</f>
        <v/>
      </c>
      <c r="R44">
        <f>IF($E44="","sve_discipline","disc_"&amp;$E44)</f>
        <v/>
      </c>
      <c r="S44">
        <f>IF(OR($E44="",$C44=""),"sve_kilaze","kg_"&amp;$E44&amp;"_"&amp;IF($C44="ženski","Z","M"))</f>
        <v/>
      </c>
    </row>
    <row r="45" spans="1:19">
      <c r="A45" s="5"/>
      <c r="B45" s="5"/>
      <c r="C45" s="5"/>
      <c r="D45" s="5"/>
      <c r="E45" s="7">
        <f>IF($A45="","",LOOKUP($A45,INDEX(grupe,0,1),INDEX(grupe,0,2)))</f>
        <v/>
      </c>
      <c r="F45" s="7">
        <f>IF($E45="","",VLOOKUP($E45,INDEX(grupe,0,2):INDEX(grupe,0,3),2,FALSE))</f>
        <v/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8">
        <f>IF(COUNTA($A45:$D45,G45:N45,P45)=0,"",IF($A45="","Nedostaje godište",IF($E45="","Godište nije obuhvaćeno uzrasnom tabelom",IF($B45="","Nedostaje ime i prezime",IF(NOT(SUMPRODUCT(--ISERROR(FIND(MID($B45&amp;REPT("a",60),ROW($A$1:$A$60),1),"ABCDEFGHIJKLMNOPQRSTUVWXYZabcdefghijklmnopqrstuvwxyzČĆĐŠŽčćđšž -'")))=0),"Ime sadrži znakove koji nisu slova",IF($C45="","Nedostaje pol",IF($D45="","Nedostaje pojas",IF(COUNTA(G45:N45)=0,"Nije izabrana nijedna disciplina",IF(SUMPRODUCT(--(G45:N45&lt;&gt;""),--(COUNTIF(INDIRECT("disc_"&amp;$E45),G45:N45)=0))&gt;0,"Izabrana disciplina nije moguća za uzrast "&amp;$E45,IF(AND(COUNTIF(G45:N45,"Fudokan sport kumite")&gt;0,O45=""),"Nedostaje telesna težina za Fudokan sport kumite",IF(AND(COUNTIF(G45:N45,"Fudokan sport kumite")=0,O45&lt;&gt;""),"Telesna težina se unosi isključivo uz Fudokan sport kumite",IF(AND(P45&lt;&gt;"",NOT(IFERROR(AND(UPPER(LEFT(P45,4))="FSS-",MID(P45,LEN(P45)-2,1)="/",ISNUMBER(VALUE(RIGHT(P45,2))),VALUE(MID(P45,5,LEN(P45)-7))&gt;=1,VALUE(MID(P45,5,LEN(P45)-7))=INT(VALUE(MID(P45,5,LEN(P45)-7)))),FALSE))),"FSS ID se upisuje u obliku FSS-12/26","prijava je kompletna"))))))))))))</f>
        <v/>
      </c>
      <c r="R45">
        <f>IF($E45="","sve_discipline","disc_"&amp;$E45)</f>
        <v/>
      </c>
      <c r="S45">
        <f>IF(OR($E45="",$C45=""),"sve_kilaze","kg_"&amp;$E45&amp;"_"&amp;IF($C45="ženski","Z","M"))</f>
        <v/>
      </c>
    </row>
    <row r="46" spans="1:19">
      <c r="A46" s="5"/>
      <c r="B46" s="5"/>
      <c r="C46" s="5"/>
      <c r="D46" s="5"/>
      <c r="E46" s="7">
        <f>IF($A46="","",LOOKUP($A46,INDEX(grupe,0,1),INDEX(grupe,0,2)))</f>
        <v/>
      </c>
      <c r="F46" s="7">
        <f>IF($E46="","",VLOOKUP($E46,INDEX(grupe,0,2):INDEX(grupe,0,3),2,FALSE))</f>
        <v/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8">
        <f>IF(COUNTA($A46:$D46,G46:N46,P46)=0,"",IF($A46="","Nedostaje godište",IF($E46="","Godište nije obuhvaćeno uzrasnom tabelom",IF($B46="","Nedostaje ime i prezime",IF(NOT(SUMPRODUCT(--ISERROR(FIND(MID($B46&amp;REPT("a",60),ROW($A$1:$A$60),1),"ABCDEFGHIJKLMNOPQRSTUVWXYZabcdefghijklmnopqrstuvwxyzČĆĐŠŽčćđšž -'")))=0),"Ime sadrži znakove koji nisu slova",IF($C46="","Nedostaje pol",IF($D46="","Nedostaje pojas",IF(COUNTA(G46:N46)=0,"Nije izabrana nijedna disciplina",IF(SUMPRODUCT(--(G46:N46&lt;&gt;""),--(COUNTIF(INDIRECT("disc_"&amp;$E46),G46:N46)=0))&gt;0,"Izabrana disciplina nije moguća za uzrast "&amp;$E46,IF(AND(COUNTIF(G46:N46,"Fudokan sport kumite")&gt;0,O46=""),"Nedostaje telesna težina za Fudokan sport kumite",IF(AND(COUNTIF(G46:N46,"Fudokan sport kumite")=0,O46&lt;&gt;""),"Telesna težina se unosi isključivo uz Fudokan sport kumite",IF(AND(P46&lt;&gt;"",NOT(IFERROR(AND(UPPER(LEFT(P46,4))="FSS-",MID(P46,LEN(P46)-2,1)="/",ISNUMBER(VALUE(RIGHT(P46,2))),VALUE(MID(P46,5,LEN(P46)-7))&gt;=1,VALUE(MID(P46,5,LEN(P46)-7))=INT(VALUE(MID(P46,5,LEN(P46)-7)))),FALSE))),"FSS ID se upisuje u obliku FSS-12/26","prijava je kompletna"))))))))))))</f>
        <v/>
      </c>
      <c r="R46">
        <f>IF($E46="","sve_discipline","disc_"&amp;$E46)</f>
        <v/>
      </c>
      <c r="S46">
        <f>IF(OR($E46="",$C46=""),"sve_kilaze","kg_"&amp;$E46&amp;"_"&amp;IF($C46="ženski","Z","M"))</f>
        <v/>
      </c>
    </row>
    <row r="47" spans="1:19">
      <c r="A47" s="5"/>
      <c r="B47" s="5"/>
      <c r="C47" s="5"/>
      <c r="D47" s="5"/>
      <c r="E47" s="7">
        <f>IF($A47="","",LOOKUP($A47,INDEX(grupe,0,1),INDEX(grupe,0,2)))</f>
        <v/>
      </c>
      <c r="F47" s="7">
        <f>IF($E47="","",VLOOKUP($E47,INDEX(grupe,0,2):INDEX(grupe,0,3),2,FALSE))</f>
        <v/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8">
        <f>IF(COUNTA($A47:$D47,G47:N47,P47)=0,"",IF($A47="","Nedostaje godište",IF($E47="","Godište nije obuhvaćeno uzrasnom tabelom",IF($B47="","Nedostaje ime i prezime",IF(NOT(SUMPRODUCT(--ISERROR(FIND(MID($B47&amp;REPT("a",60),ROW($A$1:$A$60),1),"ABCDEFGHIJKLMNOPQRSTUVWXYZabcdefghijklmnopqrstuvwxyzČĆĐŠŽčćđšž -'")))=0),"Ime sadrži znakove koji nisu slova",IF($C47="","Nedostaje pol",IF($D47="","Nedostaje pojas",IF(COUNTA(G47:N47)=0,"Nije izabrana nijedna disciplina",IF(SUMPRODUCT(--(G47:N47&lt;&gt;""),--(COUNTIF(INDIRECT("disc_"&amp;$E47),G47:N47)=0))&gt;0,"Izabrana disciplina nije moguća za uzrast "&amp;$E47,IF(AND(COUNTIF(G47:N47,"Fudokan sport kumite")&gt;0,O47=""),"Nedostaje telesna težina za Fudokan sport kumite",IF(AND(COUNTIF(G47:N47,"Fudokan sport kumite")=0,O47&lt;&gt;""),"Telesna težina se unosi isključivo uz Fudokan sport kumite",IF(AND(P47&lt;&gt;"",NOT(IFERROR(AND(UPPER(LEFT(P47,4))="FSS-",MID(P47,LEN(P47)-2,1)="/",ISNUMBER(VALUE(RIGHT(P47,2))),VALUE(MID(P47,5,LEN(P47)-7))&gt;=1,VALUE(MID(P47,5,LEN(P47)-7))=INT(VALUE(MID(P47,5,LEN(P47)-7)))),FALSE))),"FSS ID se upisuje u obliku FSS-12/26","prijava je kompletna"))))))))))))</f>
        <v/>
      </c>
      <c r="R47">
        <f>IF($E47="","sve_discipline","disc_"&amp;$E47)</f>
        <v/>
      </c>
      <c r="S47">
        <f>IF(OR($E47="",$C47=""),"sve_kilaze","kg_"&amp;$E47&amp;"_"&amp;IF($C47="ženski","Z","M"))</f>
        <v/>
      </c>
    </row>
    <row r="48" spans="1:19">
      <c r="A48" s="5"/>
      <c r="B48" s="5"/>
      <c r="C48" s="5"/>
      <c r="D48" s="5"/>
      <c r="E48" s="7">
        <f>IF($A48="","",LOOKUP($A48,INDEX(grupe,0,1),INDEX(grupe,0,2)))</f>
        <v/>
      </c>
      <c r="F48" s="7">
        <f>IF($E48="","",VLOOKUP($E48,INDEX(grupe,0,2):INDEX(grupe,0,3),2,FALSE))</f>
        <v/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8">
        <f>IF(COUNTA($A48:$D48,G48:N48,P48)=0,"",IF($A48="","Nedostaje godište",IF($E48="","Godište nije obuhvaćeno uzrasnom tabelom",IF($B48="","Nedostaje ime i prezime",IF(NOT(SUMPRODUCT(--ISERROR(FIND(MID($B48&amp;REPT("a",60),ROW($A$1:$A$60),1),"ABCDEFGHIJKLMNOPQRSTUVWXYZabcdefghijklmnopqrstuvwxyzČĆĐŠŽčćđšž -'")))=0),"Ime sadrži znakove koji nisu slova",IF($C48="","Nedostaje pol",IF($D48="","Nedostaje pojas",IF(COUNTA(G48:N48)=0,"Nije izabrana nijedna disciplina",IF(SUMPRODUCT(--(G48:N48&lt;&gt;""),--(COUNTIF(INDIRECT("disc_"&amp;$E48),G48:N48)=0))&gt;0,"Izabrana disciplina nije moguća za uzrast "&amp;$E48,IF(AND(COUNTIF(G48:N48,"Fudokan sport kumite")&gt;0,O48=""),"Nedostaje telesna težina za Fudokan sport kumite",IF(AND(COUNTIF(G48:N48,"Fudokan sport kumite")=0,O48&lt;&gt;""),"Telesna težina se unosi isključivo uz Fudokan sport kumite",IF(AND(P48&lt;&gt;"",NOT(IFERROR(AND(UPPER(LEFT(P48,4))="FSS-",MID(P48,LEN(P48)-2,1)="/",ISNUMBER(VALUE(RIGHT(P48,2))),VALUE(MID(P48,5,LEN(P48)-7))&gt;=1,VALUE(MID(P48,5,LEN(P48)-7))=INT(VALUE(MID(P48,5,LEN(P48)-7)))),FALSE))),"FSS ID se upisuje u obliku FSS-12/26","prijava je kompletna"))))))))))))</f>
        <v/>
      </c>
      <c r="R48">
        <f>IF($E48="","sve_discipline","disc_"&amp;$E48)</f>
        <v/>
      </c>
      <c r="S48">
        <f>IF(OR($E48="",$C48=""),"sve_kilaze","kg_"&amp;$E48&amp;"_"&amp;IF($C48="ženski","Z","M"))</f>
        <v/>
      </c>
    </row>
    <row r="49" spans="1:19">
      <c r="A49" s="5"/>
      <c r="B49" s="5"/>
      <c r="C49" s="5"/>
      <c r="D49" s="5"/>
      <c r="E49" s="7">
        <f>IF($A49="","",LOOKUP($A49,INDEX(grupe,0,1),INDEX(grupe,0,2)))</f>
        <v/>
      </c>
      <c r="F49" s="7">
        <f>IF($E49="","",VLOOKUP($E49,INDEX(grupe,0,2):INDEX(grupe,0,3),2,FALSE))</f>
        <v/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8">
        <f>IF(COUNTA($A49:$D49,G49:N49,P49)=0,"",IF($A49="","Nedostaje godište",IF($E49="","Godište nije obuhvaćeno uzrasnom tabelom",IF($B49="","Nedostaje ime i prezime",IF(NOT(SUMPRODUCT(--ISERROR(FIND(MID($B49&amp;REPT("a",60),ROW($A$1:$A$60),1),"ABCDEFGHIJKLMNOPQRSTUVWXYZabcdefghijklmnopqrstuvwxyzČĆĐŠŽčćđšž -'")))=0),"Ime sadrži znakove koji nisu slova",IF($C49="","Nedostaje pol",IF($D49="","Nedostaje pojas",IF(COUNTA(G49:N49)=0,"Nije izabrana nijedna disciplina",IF(SUMPRODUCT(--(G49:N49&lt;&gt;""),--(COUNTIF(INDIRECT("disc_"&amp;$E49),G49:N49)=0))&gt;0,"Izabrana disciplina nije moguća za uzrast "&amp;$E49,IF(AND(COUNTIF(G49:N49,"Fudokan sport kumite")&gt;0,O49=""),"Nedostaje telesna težina za Fudokan sport kumite",IF(AND(COUNTIF(G49:N49,"Fudokan sport kumite")=0,O49&lt;&gt;""),"Telesna težina se unosi isključivo uz Fudokan sport kumite",IF(AND(P49&lt;&gt;"",NOT(IFERROR(AND(UPPER(LEFT(P49,4))="FSS-",MID(P49,LEN(P49)-2,1)="/",ISNUMBER(VALUE(RIGHT(P49,2))),VALUE(MID(P49,5,LEN(P49)-7))&gt;=1,VALUE(MID(P49,5,LEN(P49)-7))=INT(VALUE(MID(P49,5,LEN(P49)-7)))),FALSE))),"FSS ID se upisuje u obliku FSS-12/26","prijava je kompletna"))))))))))))</f>
        <v/>
      </c>
      <c r="R49">
        <f>IF($E49="","sve_discipline","disc_"&amp;$E49)</f>
        <v/>
      </c>
      <c r="S49">
        <f>IF(OR($E49="",$C49=""),"sve_kilaze","kg_"&amp;$E49&amp;"_"&amp;IF($C49="ženski","Z","M"))</f>
        <v/>
      </c>
    </row>
    <row r="50" spans="1:19">
      <c r="A50" s="5"/>
      <c r="B50" s="5"/>
      <c r="C50" s="5"/>
      <c r="D50" s="5"/>
      <c r="E50" s="7">
        <f>IF($A50="","",LOOKUP($A50,INDEX(grupe,0,1),INDEX(grupe,0,2)))</f>
        <v/>
      </c>
      <c r="F50" s="7">
        <f>IF($E50="","",VLOOKUP($E50,INDEX(grupe,0,2):INDEX(grupe,0,3),2,FALSE))</f>
        <v/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8">
        <f>IF(COUNTA($A50:$D50,G50:N50,P50)=0,"",IF($A50="","Nedostaje godište",IF($E50="","Godište nije obuhvaćeno uzrasnom tabelom",IF($B50="","Nedostaje ime i prezime",IF(NOT(SUMPRODUCT(--ISERROR(FIND(MID($B50&amp;REPT("a",60),ROW($A$1:$A$60),1),"ABCDEFGHIJKLMNOPQRSTUVWXYZabcdefghijklmnopqrstuvwxyzČĆĐŠŽčćđšž -'")))=0),"Ime sadrži znakove koji nisu slova",IF($C50="","Nedostaje pol",IF($D50="","Nedostaje pojas",IF(COUNTA(G50:N50)=0,"Nije izabrana nijedna disciplina",IF(SUMPRODUCT(--(G50:N50&lt;&gt;""),--(COUNTIF(INDIRECT("disc_"&amp;$E50),G50:N50)=0))&gt;0,"Izabrana disciplina nije moguća za uzrast "&amp;$E50,IF(AND(COUNTIF(G50:N50,"Fudokan sport kumite")&gt;0,O50=""),"Nedostaje telesna težina za Fudokan sport kumite",IF(AND(COUNTIF(G50:N50,"Fudokan sport kumite")=0,O50&lt;&gt;""),"Telesna težina se unosi isključivo uz Fudokan sport kumite",IF(AND(P50&lt;&gt;"",NOT(IFERROR(AND(UPPER(LEFT(P50,4))="FSS-",MID(P50,LEN(P50)-2,1)="/",ISNUMBER(VALUE(RIGHT(P50,2))),VALUE(MID(P50,5,LEN(P50)-7))&gt;=1,VALUE(MID(P50,5,LEN(P50)-7))=INT(VALUE(MID(P50,5,LEN(P50)-7)))),FALSE))),"FSS ID se upisuje u obliku FSS-12/26","prijava je kompletna"))))))))))))</f>
        <v/>
      </c>
      <c r="R50">
        <f>IF($E50="","sve_discipline","disc_"&amp;$E50)</f>
        <v/>
      </c>
      <c r="S50">
        <f>IF(OR($E50="",$C50=""),"sve_kilaze","kg_"&amp;$E50&amp;"_"&amp;IF($C50="ženski","Z","M"))</f>
        <v/>
      </c>
    </row>
    <row r="51" spans="1:19">
      <c r="A51" s="5"/>
      <c r="B51" s="5"/>
      <c r="C51" s="5"/>
      <c r="D51" s="5"/>
      <c r="E51" s="7">
        <f>IF($A51="","",LOOKUP($A51,INDEX(grupe,0,1),INDEX(grupe,0,2)))</f>
        <v/>
      </c>
      <c r="F51" s="7">
        <f>IF($E51="","",VLOOKUP($E51,INDEX(grupe,0,2):INDEX(grupe,0,3),2,FALSE))</f>
        <v/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8">
        <f>IF(COUNTA($A51:$D51,G51:N51,P51)=0,"",IF($A51="","Nedostaje godište",IF($E51="","Godište nije obuhvaćeno uzrasnom tabelom",IF($B51="","Nedostaje ime i prezime",IF(NOT(SUMPRODUCT(--ISERROR(FIND(MID($B51&amp;REPT("a",60),ROW($A$1:$A$60),1),"ABCDEFGHIJKLMNOPQRSTUVWXYZabcdefghijklmnopqrstuvwxyzČĆĐŠŽčćđšž -'")))=0),"Ime sadrži znakove koji nisu slova",IF($C51="","Nedostaje pol",IF($D51="","Nedostaje pojas",IF(COUNTA(G51:N51)=0,"Nije izabrana nijedna disciplina",IF(SUMPRODUCT(--(G51:N51&lt;&gt;""),--(COUNTIF(INDIRECT("disc_"&amp;$E51),G51:N51)=0))&gt;0,"Izabrana disciplina nije moguća za uzrast "&amp;$E51,IF(AND(COUNTIF(G51:N51,"Fudokan sport kumite")&gt;0,O51=""),"Nedostaje telesna težina za Fudokan sport kumite",IF(AND(COUNTIF(G51:N51,"Fudokan sport kumite")=0,O51&lt;&gt;""),"Telesna težina se unosi isključivo uz Fudokan sport kumite",IF(AND(P51&lt;&gt;"",NOT(IFERROR(AND(UPPER(LEFT(P51,4))="FSS-",MID(P51,LEN(P51)-2,1)="/",ISNUMBER(VALUE(RIGHT(P51,2))),VALUE(MID(P51,5,LEN(P51)-7))&gt;=1,VALUE(MID(P51,5,LEN(P51)-7))=INT(VALUE(MID(P51,5,LEN(P51)-7)))),FALSE))),"FSS ID se upisuje u obliku FSS-12/26","prijava je kompletna"))))))))))))</f>
        <v/>
      </c>
      <c r="R51">
        <f>IF($E51="","sve_discipline","disc_"&amp;$E51)</f>
        <v/>
      </c>
      <c r="S51">
        <f>IF(OR($E51="",$C51=""),"sve_kilaze","kg_"&amp;$E51&amp;"_"&amp;IF($C51="ženski","Z","M"))</f>
        <v/>
      </c>
    </row>
    <row r="52" spans="1:19">
      <c r="A52" s="5"/>
      <c r="B52" s="5"/>
      <c r="C52" s="5"/>
      <c r="D52" s="5"/>
      <c r="E52" s="7">
        <f>IF($A52="","",LOOKUP($A52,INDEX(grupe,0,1),INDEX(grupe,0,2)))</f>
        <v/>
      </c>
      <c r="F52" s="7">
        <f>IF($E52="","",VLOOKUP($E52,INDEX(grupe,0,2):INDEX(grupe,0,3),2,FALSE))</f>
        <v/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8">
        <f>IF(COUNTA($A52:$D52,G52:N52,P52)=0,"",IF($A52="","Nedostaje godište",IF($E52="","Godište nije obuhvaćeno uzrasnom tabelom",IF($B52="","Nedostaje ime i prezime",IF(NOT(SUMPRODUCT(--ISERROR(FIND(MID($B52&amp;REPT("a",60),ROW($A$1:$A$60),1),"ABCDEFGHIJKLMNOPQRSTUVWXYZabcdefghijklmnopqrstuvwxyzČĆĐŠŽčćđšž -'")))=0),"Ime sadrži znakove koji nisu slova",IF($C52="","Nedostaje pol",IF($D52="","Nedostaje pojas",IF(COUNTA(G52:N52)=0,"Nije izabrana nijedna disciplina",IF(SUMPRODUCT(--(G52:N52&lt;&gt;""),--(COUNTIF(INDIRECT("disc_"&amp;$E52),G52:N52)=0))&gt;0,"Izabrana disciplina nije moguća za uzrast "&amp;$E52,IF(AND(COUNTIF(G52:N52,"Fudokan sport kumite")&gt;0,O52=""),"Nedostaje telesna težina za Fudokan sport kumite",IF(AND(COUNTIF(G52:N52,"Fudokan sport kumite")=0,O52&lt;&gt;""),"Telesna težina se unosi isključivo uz Fudokan sport kumite",IF(AND(P52&lt;&gt;"",NOT(IFERROR(AND(UPPER(LEFT(P52,4))="FSS-",MID(P52,LEN(P52)-2,1)="/",ISNUMBER(VALUE(RIGHT(P52,2))),VALUE(MID(P52,5,LEN(P52)-7))&gt;=1,VALUE(MID(P52,5,LEN(P52)-7))=INT(VALUE(MID(P52,5,LEN(P52)-7)))),FALSE))),"FSS ID se upisuje u obliku FSS-12/26","prijava je kompletna"))))))))))))</f>
        <v/>
      </c>
      <c r="R52">
        <f>IF($E52="","sve_discipline","disc_"&amp;$E52)</f>
        <v/>
      </c>
      <c r="S52">
        <f>IF(OR($E52="",$C52=""),"sve_kilaze","kg_"&amp;$E52&amp;"_"&amp;IF($C52="ženski","Z","M"))</f>
        <v/>
      </c>
    </row>
    <row r="53" spans="1:19">
      <c r="A53" s="5"/>
      <c r="B53" s="5"/>
      <c r="C53" s="5"/>
      <c r="D53" s="5"/>
      <c r="E53" s="7">
        <f>IF($A53="","",LOOKUP($A53,INDEX(grupe,0,1),INDEX(grupe,0,2)))</f>
        <v/>
      </c>
      <c r="F53" s="7">
        <f>IF($E53="","",VLOOKUP($E53,INDEX(grupe,0,2):INDEX(grupe,0,3),2,FALSE))</f>
        <v/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8">
        <f>IF(COUNTA($A53:$D53,G53:N53,P53)=0,"",IF($A53="","Nedostaje godište",IF($E53="","Godište nije obuhvaćeno uzrasnom tabelom",IF($B53="","Nedostaje ime i prezime",IF(NOT(SUMPRODUCT(--ISERROR(FIND(MID($B53&amp;REPT("a",60),ROW($A$1:$A$60),1),"ABCDEFGHIJKLMNOPQRSTUVWXYZabcdefghijklmnopqrstuvwxyzČĆĐŠŽčćđšž -'")))=0),"Ime sadrži znakove koji nisu slova",IF($C53="","Nedostaje pol",IF($D53="","Nedostaje pojas",IF(COUNTA(G53:N53)=0,"Nije izabrana nijedna disciplina",IF(SUMPRODUCT(--(G53:N53&lt;&gt;""),--(COUNTIF(INDIRECT("disc_"&amp;$E53),G53:N53)=0))&gt;0,"Izabrana disciplina nije moguća za uzrast "&amp;$E53,IF(AND(COUNTIF(G53:N53,"Fudokan sport kumite")&gt;0,O53=""),"Nedostaje telesna težina za Fudokan sport kumite",IF(AND(COUNTIF(G53:N53,"Fudokan sport kumite")=0,O53&lt;&gt;""),"Telesna težina se unosi isključivo uz Fudokan sport kumite",IF(AND(P53&lt;&gt;"",NOT(IFERROR(AND(UPPER(LEFT(P53,4))="FSS-",MID(P53,LEN(P53)-2,1)="/",ISNUMBER(VALUE(RIGHT(P53,2))),VALUE(MID(P53,5,LEN(P53)-7))&gt;=1,VALUE(MID(P53,5,LEN(P53)-7))=INT(VALUE(MID(P53,5,LEN(P53)-7)))),FALSE))),"FSS ID se upisuje u obliku FSS-12/26","prijava je kompletna"))))))))))))</f>
        <v/>
      </c>
      <c r="R53">
        <f>IF($E53="","sve_discipline","disc_"&amp;$E53)</f>
        <v/>
      </c>
      <c r="S53">
        <f>IF(OR($E53="",$C53=""),"sve_kilaze","kg_"&amp;$E53&amp;"_"&amp;IF($C53="ženski","Z","M"))</f>
        <v/>
      </c>
    </row>
    <row r="54" spans="1:19">
      <c r="A54" s="5"/>
      <c r="B54" s="5"/>
      <c r="C54" s="5"/>
      <c r="D54" s="5"/>
      <c r="E54" s="7">
        <f>IF($A54="","",LOOKUP($A54,INDEX(grupe,0,1),INDEX(grupe,0,2)))</f>
        <v/>
      </c>
      <c r="F54" s="7">
        <f>IF($E54="","",VLOOKUP($E54,INDEX(grupe,0,2):INDEX(grupe,0,3),2,FALSE))</f>
        <v/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8">
        <f>IF(COUNTA($A54:$D54,G54:N54,P54)=0,"",IF($A54="","Nedostaje godište",IF($E54="","Godište nije obuhvaćeno uzrasnom tabelom",IF($B54="","Nedostaje ime i prezime",IF(NOT(SUMPRODUCT(--ISERROR(FIND(MID($B54&amp;REPT("a",60),ROW($A$1:$A$60),1),"ABCDEFGHIJKLMNOPQRSTUVWXYZabcdefghijklmnopqrstuvwxyzČĆĐŠŽčćđšž -'")))=0),"Ime sadrži znakove koji nisu slova",IF($C54="","Nedostaje pol",IF($D54="","Nedostaje pojas",IF(COUNTA(G54:N54)=0,"Nije izabrana nijedna disciplina",IF(SUMPRODUCT(--(G54:N54&lt;&gt;""),--(COUNTIF(INDIRECT("disc_"&amp;$E54),G54:N54)=0))&gt;0,"Izabrana disciplina nije moguća za uzrast "&amp;$E54,IF(AND(COUNTIF(G54:N54,"Fudokan sport kumite")&gt;0,O54=""),"Nedostaje telesna težina za Fudokan sport kumite",IF(AND(COUNTIF(G54:N54,"Fudokan sport kumite")=0,O54&lt;&gt;""),"Telesna težina se unosi isključivo uz Fudokan sport kumite",IF(AND(P54&lt;&gt;"",NOT(IFERROR(AND(UPPER(LEFT(P54,4))="FSS-",MID(P54,LEN(P54)-2,1)="/",ISNUMBER(VALUE(RIGHT(P54,2))),VALUE(MID(P54,5,LEN(P54)-7))&gt;=1,VALUE(MID(P54,5,LEN(P54)-7))=INT(VALUE(MID(P54,5,LEN(P54)-7)))),FALSE))),"FSS ID se upisuje u obliku FSS-12/26","prijava je kompletna"))))))))))))</f>
        <v/>
      </c>
      <c r="R54">
        <f>IF($E54="","sve_discipline","disc_"&amp;$E54)</f>
        <v/>
      </c>
      <c r="S54">
        <f>IF(OR($E54="",$C54=""),"sve_kilaze","kg_"&amp;$E54&amp;"_"&amp;IF($C54="ženski","Z","M"))</f>
        <v/>
      </c>
    </row>
    <row r="55" spans="1:19">
      <c r="A55" s="5"/>
      <c r="B55" s="5"/>
      <c r="C55" s="5"/>
      <c r="D55" s="5"/>
      <c r="E55" s="7">
        <f>IF($A55="","",LOOKUP($A55,INDEX(grupe,0,1),INDEX(grupe,0,2)))</f>
        <v/>
      </c>
      <c r="F55" s="7">
        <f>IF($E55="","",VLOOKUP($E55,INDEX(grupe,0,2):INDEX(grupe,0,3),2,FALSE))</f>
        <v/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8">
        <f>IF(COUNTA($A55:$D55,G55:N55,P55)=0,"",IF($A55="","Nedostaje godište",IF($E55="","Godište nije obuhvaćeno uzrasnom tabelom",IF($B55="","Nedostaje ime i prezime",IF(NOT(SUMPRODUCT(--ISERROR(FIND(MID($B55&amp;REPT("a",60),ROW($A$1:$A$60),1),"ABCDEFGHIJKLMNOPQRSTUVWXYZabcdefghijklmnopqrstuvwxyzČĆĐŠŽčćđšž -'")))=0),"Ime sadrži znakove koji nisu slova",IF($C55="","Nedostaje pol",IF($D55="","Nedostaje pojas",IF(COUNTA(G55:N55)=0,"Nije izabrana nijedna disciplina",IF(SUMPRODUCT(--(G55:N55&lt;&gt;""),--(COUNTIF(INDIRECT("disc_"&amp;$E55),G55:N55)=0))&gt;0,"Izabrana disciplina nije moguća za uzrast "&amp;$E55,IF(AND(COUNTIF(G55:N55,"Fudokan sport kumite")&gt;0,O55=""),"Nedostaje telesna težina za Fudokan sport kumite",IF(AND(COUNTIF(G55:N55,"Fudokan sport kumite")=0,O55&lt;&gt;""),"Telesna težina se unosi isključivo uz Fudokan sport kumite",IF(AND(P55&lt;&gt;"",NOT(IFERROR(AND(UPPER(LEFT(P55,4))="FSS-",MID(P55,LEN(P55)-2,1)="/",ISNUMBER(VALUE(RIGHT(P55,2))),VALUE(MID(P55,5,LEN(P55)-7))&gt;=1,VALUE(MID(P55,5,LEN(P55)-7))=INT(VALUE(MID(P55,5,LEN(P55)-7)))),FALSE))),"FSS ID se upisuje u obliku FSS-12/26","prijava je kompletna"))))))))))))</f>
        <v/>
      </c>
      <c r="R55">
        <f>IF($E55="","sve_discipline","disc_"&amp;$E55)</f>
        <v/>
      </c>
      <c r="S55">
        <f>IF(OR($E55="",$C55=""),"sve_kilaze","kg_"&amp;$E55&amp;"_"&amp;IF($C55="ženski","Z","M"))</f>
        <v/>
      </c>
    </row>
    <row r="56" spans="1:19">
      <c r="A56" s="5"/>
      <c r="B56" s="5"/>
      <c r="C56" s="5"/>
      <c r="D56" s="5"/>
      <c r="E56" s="7">
        <f>IF($A56="","",LOOKUP($A56,INDEX(grupe,0,1),INDEX(grupe,0,2)))</f>
        <v/>
      </c>
      <c r="F56" s="7">
        <f>IF($E56="","",VLOOKUP($E56,INDEX(grupe,0,2):INDEX(grupe,0,3),2,FALSE))</f>
        <v/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8">
        <f>IF(COUNTA($A56:$D56,G56:N56,P56)=0,"",IF($A56="","Nedostaje godište",IF($E56="","Godište nije obuhvaćeno uzrasnom tabelom",IF($B56="","Nedostaje ime i prezime",IF(NOT(SUMPRODUCT(--ISERROR(FIND(MID($B56&amp;REPT("a",60),ROW($A$1:$A$60),1),"ABCDEFGHIJKLMNOPQRSTUVWXYZabcdefghijklmnopqrstuvwxyzČĆĐŠŽčćđšž -'")))=0),"Ime sadrži znakove koji nisu slova",IF($C56="","Nedostaje pol",IF($D56="","Nedostaje pojas",IF(COUNTA(G56:N56)=0,"Nije izabrana nijedna disciplina",IF(SUMPRODUCT(--(G56:N56&lt;&gt;""),--(COUNTIF(INDIRECT("disc_"&amp;$E56),G56:N56)=0))&gt;0,"Izabrana disciplina nije moguća za uzrast "&amp;$E56,IF(AND(COUNTIF(G56:N56,"Fudokan sport kumite")&gt;0,O56=""),"Nedostaje telesna težina za Fudokan sport kumite",IF(AND(COUNTIF(G56:N56,"Fudokan sport kumite")=0,O56&lt;&gt;""),"Telesna težina se unosi isključivo uz Fudokan sport kumite",IF(AND(P56&lt;&gt;"",NOT(IFERROR(AND(UPPER(LEFT(P56,4))="FSS-",MID(P56,LEN(P56)-2,1)="/",ISNUMBER(VALUE(RIGHT(P56,2))),VALUE(MID(P56,5,LEN(P56)-7))&gt;=1,VALUE(MID(P56,5,LEN(P56)-7))=INT(VALUE(MID(P56,5,LEN(P56)-7)))),FALSE))),"FSS ID se upisuje u obliku FSS-12/26","prijava je kompletna"))))))))))))</f>
        <v/>
      </c>
      <c r="R56">
        <f>IF($E56="","sve_discipline","disc_"&amp;$E56)</f>
        <v/>
      </c>
      <c r="S56">
        <f>IF(OR($E56="",$C56=""),"sve_kilaze","kg_"&amp;$E56&amp;"_"&amp;IF($C56="ženski","Z","M"))</f>
        <v/>
      </c>
    </row>
    <row r="57" spans="1:19">
      <c r="A57" s="5"/>
      <c r="B57" s="5"/>
      <c r="C57" s="5"/>
      <c r="D57" s="5"/>
      <c r="E57" s="7">
        <f>IF($A57="","",LOOKUP($A57,INDEX(grupe,0,1),INDEX(grupe,0,2)))</f>
        <v/>
      </c>
      <c r="F57" s="7">
        <f>IF($E57="","",VLOOKUP($E57,INDEX(grupe,0,2):INDEX(grupe,0,3),2,FALSE))</f>
        <v/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8">
        <f>IF(COUNTA($A57:$D57,G57:N57,P57)=0,"",IF($A57="","Nedostaje godište",IF($E57="","Godište nije obuhvaćeno uzrasnom tabelom",IF($B57="","Nedostaje ime i prezime",IF(NOT(SUMPRODUCT(--ISERROR(FIND(MID($B57&amp;REPT("a",60),ROW($A$1:$A$60),1),"ABCDEFGHIJKLMNOPQRSTUVWXYZabcdefghijklmnopqrstuvwxyzČĆĐŠŽčćđšž -'")))=0),"Ime sadrži znakove koji nisu slova",IF($C57="","Nedostaje pol",IF($D57="","Nedostaje pojas",IF(COUNTA(G57:N57)=0,"Nije izabrana nijedna disciplina",IF(SUMPRODUCT(--(G57:N57&lt;&gt;""),--(COUNTIF(INDIRECT("disc_"&amp;$E57),G57:N57)=0))&gt;0,"Izabrana disciplina nije moguća za uzrast "&amp;$E57,IF(AND(COUNTIF(G57:N57,"Fudokan sport kumite")&gt;0,O57=""),"Nedostaje telesna težina za Fudokan sport kumite",IF(AND(COUNTIF(G57:N57,"Fudokan sport kumite")=0,O57&lt;&gt;""),"Telesna težina se unosi isključivo uz Fudokan sport kumite",IF(AND(P57&lt;&gt;"",NOT(IFERROR(AND(UPPER(LEFT(P57,4))="FSS-",MID(P57,LEN(P57)-2,1)="/",ISNUMBER(VALUE(RIGHT(P57,2))),VALUE(MID(P57,5,LEN(P57)-7))&gt;=1,VALUE(MID(P57,5,LEN(P57)-7))=INT(VALUE(MID(P57,5,LEN(P57)-7)))),FALSE))),"FSS ID se upisuje u obliku FSS-12/26","prijava je kompletna"))))))))))))</f>
        <v/>
      </c>
      <c r="R57">
        <f>IF($E57="","sve_discipline","disc_"&amp;$E57)</f>
        <v/>
      </c>
      <c r="S57">
        <f>IF(OR($E57="",$C57=""),"sve_kilaze","kg_"&amp;$E57&amp;"_"&amp;IF($C57="ženski","Z","M"))</f>
        <v/>
      </c>
    </row>
    <row r="58" spans="1:19">
      <c r="A58" s="5"/>
      <c r="B58" s="5"/>
      <c r="C58" s="5"/>
      <c r="D58" s="5"/>
      <c r="E58" s="7">
        <f>IF($A58="","",LOOKUP($A58,INDEX(grupe,0,1),INDEX(grupe,0,2)))</f>
        <v/>
      </c>
      <c r="F58" s="7">
        <f>IF($E58="","",VLOOKUP($E58,INDEX(grupe,0,2):INDEX(grupe,0,3),2,FALSE))</f>
        <v/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8">
        <f>IF(COUNTA($A58:$D58,G58:N58,P58)=0,"",IF($A58="","Nedostaje godište",IF($E58="","Godište nije obuhvaćeno uzrasnom tabelom",IF($B58="","Nedostaje ime i prezime",IF(NOT(SUMPRODUCT(--ISERROR(FIND(MID($B58&amp;REPT("a",60),ROW($A$1:$A$60),1),"ABCDEFGHIJKLMNOPQRSTUVWXYZabcdefghijklmnopqrstuvwxyzČĆĐŠŽčćđšž -'")))=0),"Ime sadrži znakove koji nisu slova",IF($C58="","Nedostaje pol",IF($D58="","Nedostaje pojas",IF(COUNTA(G58:N58)=0,"Nije izabrana nijedna disciplina",IF(SUMPRODUCT(--(G58:N58&lt;&gt;""),--(COUNTIF(INDIRECT("disc_"&amp;$E58),G58:N58)=0))&gt;0,"Izabrana disciplina nije moguća za uzrast "&amp;$E58,IF(AND(COUNTIF(G58:N58,"Fudokan sport kumite")&gt;0,O58=""),"Nedostaje telesna težina za Fudokan sport kumite",IF(AND(COUNTIF(G58:N58,"Fudokan sport kumite")=0,O58&lt;&gt;""),"Telesna težina se unosi isključivo uz Fudokan sport kumite",IF(AND(P58&lt;&gt;"",NOT(IFERROR(AND(UPPER(LEFT(P58,4))="FSS-",MID(P58,LEN(P58)-2,1)="/",ISNUMBER(VALUE(RIGHT(P58,2))),VALUE(MID(P58,5,LEN(P58)-7))&gt;=1,VALUE(MID(P58,5,LEN(P58)-7))=INT(VALUE(MID(P58,5,LEN(P58)-7)))),FALSE))),"FSS ID se upisuje u obliku FSS-12/26","prijava je kompletna"))))))))))))</f>
        <v/>
      </c>
      <c r="R58">
        <f>IF($E58="","sve_discipline","disc_"&amp;$E58)</f>
        <v/>
      </c>
      <c r="S58">
        <f>IF(OR($E58="",$C58=""),"sve_kilaze","kg_"&amp;$E58&amp;"_"&amp;IF($C58="ženski","Z","M"))</f>
        <v/>
      </c>
    </row>
    <row r="59" spans="1:19">
      <c r="A59" s="5"/>
      <c r="B59" s="5"/>
      <c r="C59" s="5"/>
      <c r="D59" s="5"/>
      <c r="E59" s="7">
        <f>IF($A59="","",LOOKUP($A59,INDEX(grupe,0,1),INDEX(grupe,0,2)))</f>
        <v/>
      </c>
      <c r="F59" s="7">
        <f>IF($E59="","",VLOOKUP($E59,INDEX(grupe,0,2):INDEX(grupe,0,3),2,FALSE))</f>
        <v/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8">
        <f>IF(COUNTA($A59:$D59,G59:N59,P59)=0,"",IF($A59="","Nedostaje godište",IF($E59="","Godište nije obuhvaćeno uzrasnom tabelom",IF($B59="","Nedostaje ime i prezime",IF(NOT(SUMPRODUCT(--ISERROR(FIND(MID($B59&amp;REPT("a",60),ROW($A$1:$A$60),1),"ABCDEFGHIJKLMNOPQRSTUVWXYZabcdefghijklmnopqrstuvwxyzČĆĐŠŽčćđšž -'")))=0),"Ime sadrži znakove koji nisu slova",IF($C59="","Nedostaje pol",IF($D59="","Nedostaje pojas",IF(COUNTA(G59:N59)=0,"Nije izabrana nijedna disciplina",IF(SUMPRODUCT(--(G59:N59&lt;&gt;""),--(COUNTIF(INDIRECT("disc_"&amp;$E59),G59:N59)=0))&gt;0,"Izabrana disciplina nije moguća za uzrast "&amp;$E59,IF(AND(COUNTIF(G59:N59,"Fudokan sport kumite")&gt;0,O59=""),"Nedostaje telesna težina za Fudokan sport kumite",IF(AND(COUNTIF(G59:N59,"Fudokan sport kumite")=0,O59&lt;&gt;""),"Telesna težina se unosi isključivo uz Fudokan sport kumite",IF(AND(P59&lt;&gt;"",NOT(IFERROR(AND(UPPER(LEFT(P59,4))="FSS-",MID(P59,LEN(P59)-2,1)="/",ISNUMBER(VALUE(RIGHT(P59,2))),VALUE(MID(P59,5,LEN(P59)-7))&gt;=1,VALUE(MID(P59,5,LEN(P59)-7))=INT(VALUE(MID(P59,5,LEN(P59)-7)))),FALSE))),"FSS ID se upisuje u obliku FSS-12/26","prijava je kompletna"))))))))))))</f>
        <v/>
      </c>
      <c r="R59">
        <f>IF($E59="","sve_discipline","disc_"&amp;$E59)</f>
        <v/>
      </c>
      <c r="S59">
        <f>IF(OR($E59="",$C59=""),"sve_kilaze","kg_"&amp;$E59&amp;"_"&amp;IF($C59="ženski","Z","M"))</f>
        <v/>
      </c>
    </row>
    <row r="60" spans="1:19">
      <c r="A60" s="5"/>
      <c r="B60" s="5"/>
      <c r="C60" s="5"/>
      <c r="D60" s="5"/>
      <c r="E60" s="7">
        <f>IF($A60="","",LOOKUP($A60,INDEX(grupe,0,1),INDEX(grupe,0,2)))</f>
        <v/>
      </c>
      <c r="F60" s="7">
        <f>IF($E60="","",VLOOKUP($E60,INDEX(grupe,0,2):INDEX(grupe,0,3),2,FALSE))</f>
        <v/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8">
        <f>IF(COUNTA($A60:$D60,G60:N60,P60)=0,"",IF($A60="","Nedostaje godište",IF($E60="","Godište nije obuhvaćeno uzrasnom tabelom",IF($B60="","Nedostaje ime i prezime",IF(NOT(SUMPRODUCT(--ISERROR(FIND(MID($B60&amp;REPT("a",60),ROW($A$1:$A$60),1),"ABCDEFGHIJKLMNOPQRSTUVWXYZabcdefghijklmnopqrstuvwxyzČĆĐŠŽčćđšž -'")))=0),"Ime sadrži znakove koji nisu slova",IF($C60="","Nedostaje pol",IF($D60="","Nedostaje pojas",IF(COUNTA(G60:N60)=0,"Nije izabrana nijedna disciplina",IF(SUMPRODUCT(--(G60:N60&lt;&gt;""),--(COUNTIF(INDIRECT("disc_"&amp;$E60),G60:N60)=0))&gt;0,"Izabrana disciplina nije moguća za uzrast "&amp;$E60,IF(AND(COUNTIF(G60:N60,"Fudokan sport kumite")&gt;0,O60=""),"Nedostaje telesna težina za Fudokan sport kumite",IF(AND(COUNTIF(G60:N60,"Fudokan sport kumite")=0,O60&lt;&gt;""),"Telesna težina se unosi isključivo uz Fudokan sport kumite",IF(AND(P60&lt;&gt;"",NOT(IFERROR(AND(UPPER(LEFT(P60,4))="FSS-",MID(P60,LEN(P60)-2,1)="/",ISNUMBER(VALUE(RIGHT(P60,2))),VALUE(MID(P60,5,LEN(P60)-7))&gt;=1,VALUE(MID(P60,5,LEN(P60)-7))=INT(VALUE(MID(P60,5,LEN(P60)-7)))),FALSE))),"FSS ID se upisuje u obliku FSS-12/26","prijava je kompletna"))))))))))))</f>
        <v/>
      </c>
      <c r="R60">
        <f>IF($E60="","sve_discipline","disc_"&amp;$E60)</f>
        <v/>
      </c>
      <c r="S60">
        <f>IF(OR($E60="",$C60=""),"sve_kilaze","kg_"&amp;$E60&amp;"_"&amp;IF($C60="ženski","Z","M"))</f>
        <v/>
      </c>
    </row>
    <row r="61" spans="1:19">
      <c r="A61" s="5"/>
      <c r="B61" s="5"/>
      <c r="C61" s="5"/>
      <c r="D61" s="5"/>
      <c r="E61" s="7">
        <f>IF($A61="","",LOOKUP($A61,INDEX(grupe,0,1),INDEX(grupe,0,2)))</f>
        <v/>
      </c>
      <c r="F61" s="7">
        <f>IF($E61="","",VLOOKUP($E61,INDEX(grupe,0,2):INDEX(grupe,0,3),2,FALSE))</f>
        <v/>
      </c>
      <c r="G61" s="5"/>
      <c r="H61" s="5"/>
      <c r="I61" s="5"/>
      <c r="J61" s="5"/>
      <c r="K61" s="5"/>
      <c r="L61" s="5"/>
      <c r="M61" s="5"/>
      <c r="N61" s="5"/>
      <c r="O61" s="5"/>
      <c r="P61" s="5"/>
      <c r="Q61" s="8">
        <f>IF(COUNTA($A61:$D61,G61:N61,P61)=0,"",IF($A61="","Nedostaje godište",IF($E61="","Godište nije obuhvaćeno uzrasnom tabelom",IF($B61="","Nedostaje ime i prezime",IF(NOT(SUMPRODUCT(--ISERROR(FIND(MID($B61&amp;REPT("a",60),ROW($A$1:$A$60),1),"ABCDEFGHIJKLMNOPQRSTUVWXYZabcdefghijklmnopqrstuvwxyzČĆĐŠŽčćđšž -'")))=0),"Ime sadrži znakove koji nisu slova",IF($C61="","Nedostaje pol",IF($D61="","Nedostaje pojas",IF(COUNTA(G61:N61)=0,"Nije izabrana nijedna disciplina",IF(SUMPRODUCT(--(G61:N61&lt;&gt;""),--(COUNTIF(INDIRECT("disc_"&amp;$E61),G61:N61)=0))&gt;0,"Izabrana disciplina nije moguća za uzrast "&amp;$E61,IF(AND(COUNTIF(G61:N61,"Fudokan sport kumite")&gt;0,O61=""),"Nedostaje telesna težina za Fudokan sport kumite",IF(AND(COUNTIF(G61:N61,"Fudokan sport kumite")=0,O61&lt;&gt;""),"Telesna težina se unosi isključivo uz Fudokan sport kumite",IF(AND(P61&lt;&gt;"",NOT(IFERROR(AND(UPPER(LEFT(P61,4))="FSS-",MID(P61,LEN(P61)-2,1)="/",ISNUMBER(VALUE(RIGHT(P61,2))),VALUE(MID(P61,5,LEN(P61)-7))&gt;=1,VALUE(MID(P61,5,LEN(P61)-7))=INT(VALUE(MID(P61,5,LEN(P61)-7)))),FALSE))),"FSS ID se upisuje u obliku FSS-12/26","prijava je kompletna"))))))))))))</f>
        <v/>
      </c>
      <c r="R61">
        <f>IF($E61="","sve_discipline","disc_"&amp;$E61)</f>
        <v/>
      </c>
      <c r="S61">
        <f>IF(OR($E61="",$C61=""),"sve_kilaze","kg_"&amp;$E61&amp;"_"&amp;IF($C61="ženski","Z","M"))</f>
        <v/>
      </c>
    </row>
    <row r="62" spans="1:19">
      <c r="A62" s="5"/>
      <c r="B62" s="5"/>
      <c r="C62" s="5"/>
      <c r="D62" s="5"/>
      <c r="E62" s="7">
        <f>IF($A62="","",LOOKUP($A62,INDEX(grupe,0,1),INDEX(grupe,0,2)))</f>
        <v/>
      </c>
      <c r="F62" s="7">
        <f>IF($E62="","",VLOOKUP($E62,INDEX(grupe,0,2):INDEX(grupe,0,3),2,FALSE))</f>
        <v/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8">
        <f>IF(COUNTA($A62:$D62,G62:N62,P62)=0,"",IF($A62="","Nedostaje godište",IF($E62="","Godište nije obuhvaćeno uzrasnom tabelom",IF($B62="","Nedostaje ime i prezime",IF(NOT(SUMPRODUCT(--ISERROR(FIND(MID($B62&amp;REPT("a",60),ROW($A$1:$A$60),1),"ABCDEFGHIJKLMNOPQRSTUVWXYZabcdefghijklmnopqrstuvwxyzČĆĐŠŽčćđšž -'")))=0),"Ime sadrži znakove koji nisu slova",IF($C62="","Nedostaje pol",IF($D62="","Nedostaje pojas",IF(COUNTA(G62:N62)=0,"Nije izabrana nijedna disciplina",IF(SUMPRODUCT(--(G62:N62&lt;&gt;""),--(COUNTIF(INDIRECT("disc_"&amp;$E62),G62:N62)=0))&gt;0,"Izabrana disciplina nije moguća za uzrast "&amp;$E62,IF(AND(COUNTIF(G62:N62,"Fudokan sport kumite")&gt;0,O62=""),"Nedostaje telesna težina za Fudokan sport kumite",IF(AND(COUNTIF(G62:N62,"Fudokan sport kumite")=0,O62&lt;&gt;""),"Telesna težina se unosi isključivo uz Fudokan sport kumite",IF(AND(P62&lt;&gt;"",NOT(IFERROR(AND(UPPER(LEFT(P62,4))="FSS-",MID(P62,LEN(P62)-2,1)="/",ISNUMBER(VALUE(RIGHT(P62,2))),VALUE(MID(P62,5,LEN(P62)-7))&gt;=1,VALUE(MID(P62,5,LEN(P62)-7))=INT(VALUE(MID(P62,5,LEN(P62)-7)))),FALSE))),"FSS ID se upisuje u obliku FSS-12/26","prijava je kompletna"))))))))))))</f>
        <v/>
      </c>
      <c r="R62">
        <f>IF($E62="","sve_discipline","disc_"&amp;$E62)</f>
        <v/>
      </c>
      <c r="S62">
        <f>IF(OR($E62="",$C62=""),"sve_kilaze","kg_"&amp;$E62&amp;"_"&amp;IF($C62="ženski","Z","M"))</f>
        <v/>
      </c>
    </row>
    <row r="63" spans="1:19">
      <c r="A63" s="5"/>
      <c r="B63" s="5"/>
      <c r="C63" s="5"/>
      <c r="D63" s="5"/>
      <c r="E63" s="7">
        <f>IF($A63="","",LOOKUP($A63,INDEX(grupe,0,1),INDEX(grupe,0,2)))</f>
        <v/>
      </c>
      <c r="F63" s="7">
        <f>IF($E63="","",VLOOKUP($E63,INDEX(grupe,0,2):INDEX(grupe,0,3),2,FALSE))</f>
        <v/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8">
        <f>IF(COUNTA($A63:$D63,G63:N63,P63)=0,"",IF($A63="","Nedostaje godište",IF($E63="","Godište nije obuhvaćeno uzrasnom tabelom",IF($B63="","Nedostaje ime i prezime",IF(NOT(SUMPRODUCT(--ISERROR(FIND(MID($B63&amp;REPT("a",60),ROW($A$1:$A$60),1),"ABCDEFGHIJKLMNOPQRSTUVWXYZabcdefghijklmnopqrstuvwxyzČĆĐŠŽčćđšž -'")))=0),"Ime sadrži znakove koji nisu slova",IF($C63="","Nedostaje pol",IF($D63="","Nedostaje pojas",IF(COUNTA(G63:N63)=0,"Nije izabrana nijedna disciplina",IF(SUMPRODUCT(--(G63:N63&lt;&gt;""),--(COUNTIF(INDIRECT("disc_"&amp;$E63),G63:N63)=0))&gt;0,"Izabrana disciplina nije moguća za uzrast "&amp;$E63,IF(AND(COUNTIF(G63:N63,"Fudokan sport kumite")&gt;0,O63=""),"Nedostaje telesna težina za Fudokan sport kumite",IF(AND(COUNTIF(G63:N63,"Fudokan sport kumite")=0,O63&lt;&gt;""),"Telesna težina se unosi isključivo uz Fudokan sport kumite",IF(AND(P63&lt;&gt;"",NOT(IFERROR(AND(UPPER(LEFT(P63,4))="FSS-",MID(P63,LEN(P63)-2,1)="/",ISNUMBER(VALUE(RIGHT(P63,2))),VALUE(MID(P63,5,LEN(P63)-7))&gt;=1,VALUE(MID(P63,5,LEN(P63)-7))=INT(VALUE(MID(P63,5,LEN(P63)-7)))),FALSE))),"FSS ID se upisuje u obliku FSS-12/26","prijava je kompletna"))))))))))))</f>
        <v/>
      </c>
      <c r="R63">
        <f>IF($E63="","sve_discipline","disc_"&amp;$E63)</f>
        <v/>
      </c>
      <c r="S63">
        <f>IF(OR($E63="",$C63=""),"sve_kilaze","kg_"&amp;$E63&amp;"_"&amp;IF($C63="ženski","Z","M"))</f>
        <v/>
      </c>
    </row>
    <row r="64" spans="1:19">
      <c r="A64" s="5"/>
      <c r="B64" s="5"/>
      <c r="C64" s="5"/>
      <c r="D64" s="5"/>
      <c r="E64" s="7">
        <f>IF($A64="","",LOOKUP($A64,INDEX(grupe,0,1),INDEX(grupe,0,2)))</f>
        <v/>
      </c>
      <c r="F64" s="7">
        <f>IF($E64="","",VLOOKUP($E64,INDEX(grupe,0,2):INDEX(grupe,0,3),2,FALSE))</f>
        <v/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8">
        <f>IF(COUNTA($A64:$D64,G64:N64,P64)=0,"",IF($A64="","Nedostaje godište",IF($E64="","Godište nije obuhvaćeno uzrasnom tabelom",IF($B64="","Nedostaje ime i prezime",IF(NOT(SUMPRODUCT(--ISERROR(FIND(MID($B64&amp;REPT("a",60),ROW($A$1:$A$60),1),"ABCDEFGHIJKLMNOPQRSTUVWXYZabcdefghijklmnopqrstuvwxyzČĆĐŠŽčćđšž -'")))=0),"Ime sadrži znakove koji nisu slova",IF($C64="","Nedostaje pol",IF($D64="","Nedostaje pojas",IF(COUNTA(G64:N64)=0,"Nije izabrana nijedna disciplina",IF(SUMPRODUCT(--(G64:N64&lt;&gt;""),--(COUNTIF(INDIRECT("disc_"&amp;$E64),G64:N64)=0))&gt;0,"Izabrana disciplina nije moguća za uzrast "&amp;$E64,IF(AND(COUNTIF(G64:N64,"Fudokan sport kumite")&gt;0,O64=""),"Nedostaje telesna težina za Fudokan sport kumite",IF(AND(COUNTIF(G64:N64,"Fudokan sport kumite")=0,O64&lt;&gt;""),"Telesna težina se unosi isključivo uz Fudokan sport kumite",IF(AND(P64&lt;&gt;"",NOT(IFERROR(AND(UPPER(LEFT(P64,4))="FSS-",MID(P64,LEN(P64)-2,1)="/",ISNUMBER(VALUE(RIGHT(P64,2))),VALUE(MID(P64,5,LEN(P64)-7))&gt;=1,VALUE(MID(P64,5,LEN(P64)-7))=INT(VALUE(MID(P64,5,LEN(P64)-7)))),FALSE))),"FSS ID se upisuje u obliku FSS-12/26","prijava je kompletna"))))))))))))</f>
        <v/>
      </c>
      <c r="R64">
        <f>IF($E64="","sve_discipline","disc_"&amp;$E64)</f>
        <v/>
      </c>
      <c r="S64">
        <f>IF(OR($E64="",$C64=""),"sve_kilaze","kg_"&amp;$E64&amp;"_"&amp;IF($C64="ženski","Z","M"))</f>
        <v/>
      </c>
    </row>
    <row r="65" spans="1:19">
      <c r="A65" s="5"/>
      <c r="B65" s="5"/>
      <c r="C65" s="5"/>
      <c r="D65" s="5"/>
      <c r="E65" s="7">
        <f>IF($A65="","",LOOKUP($A65,INDEX(grupe,0,1),INDEX(grupe,0,2)))</f>
        <v/>
      </c>
      <c r="F65" s="7">
        <f>IF($E65="","",VLOOKUP($E65,INDEX(grupe,0,2):INDEX(grupe,0,3),2,FALSE))</f>
        <v/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8">
        <f>IF(COUNTA($A65:$D65,G65:N65,P65)=0,"",IF($A65="","Nedostaje godište",IF($E65="","Godište nije obuhvaćeno uzrasnom tabelom",IF($B65="","Nedostaje ime i prezime",IF(NOT(SUMPRODUCT(--ISERROR(FIND(MID($B65&amp;REPT("a",60),ROW($A$1:$A$60),1),"ABCDEFGHIJKLMNOPQRSTUVWXYZabcdefghijklmnopqrstuvwxyzČĆĐŠŽčćđšž -'")))=0),"Ime sadrži znakove koji nisu slova",IF($C65="","Nedostaje pol",IF($D65="","Nedostaje pojas",IF(COUNTA(G65:N65)=0,"Nije izabrana nijedna disciplina",IF(SUMPRODUCT(--(G65:N65&lt;&gt;""),--(COUNTIF(INDIRECT("disc_"&amp;$E65),G65:N65)=0))&gt;0,"Izabrana disciplina nije moguća za uzrast "&amp;$E65,IF(AND(COUNTIF(G65:N65,"Fudokan sport kumite")&gt;0,O65=""),"Nedostaje telesna težina za Fudokan sport kumite",IF(AND(COUNTIF(G65:N65,"Fudokan sport kumite")=0,O65&lt;&gt;""),"Telesna težina se unosi isključivo uz Fudokan sport kumite",IF(AND(P65&lt;&gt;"",NOT(IFERROR(AND(UPPER(LEFT(P65,4))="FSS-",MID(P65,LEN(P65)-2,1)="/",ISNUMBER(VALUE(RIGHT(P65,2))),VALUE(MID(P65,5,LEN(P65)-7))&gt;=1,VALUE(MID(P65,5,LEN(P65)-7))=INT(VALUE(MID(P65,5,LEN(P65)-7)))),FALSE))),"FSS ID se upisuje u obliku FSS-12/26","prijava je kompletna"))))))))))))</f>
        <v/>
      </c>
      <c r="R65">
        <f>IF($E65="","sve_discipline","disc_"&amp;$E65)</f>
        <v/>
      </c>
      <c r="S65">
        <f>IF(OR($E65="",$C65=""),"sve_kilaze","kg_"&amp;$E65&amp;"_"&amp;IF($C65="ženski","Z","M"))</f>
        <v/>
      </c>
    </row>
    <row r="66" spans="1:19">
      <c r="A66" s="5"/>
      <c r="B66" s="5"/>
      <c r="C66" s="5"/>
      <c r="D66" s="5"/>
      <c r="E66" s="7">
        <f>IF($A66="","",LOOKUP($A66,INDEX(grupe,0,1),INDEX(grupe,0,2)))</f>
        <v/>
      </c>
      <c r="F66" s="7">
        <f>IF($E66="","",VLOOKUP($E66,INDEX(grupe,0,2):INDEX(grupe,0,3),2,FALSE))</f>
        <v/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8">
        <f>IF(COUNTA($A66:$D66,G66:N66,P66)=0,"",IF($A66="","Nedostaje godište",IF($E66="","Godište nije obuhvaćeno uzrasnom tabelom",IF($B66="","Nedostaje ime i prezime",IF(NOT(SUMPRODUCT(--ISERROR(FIND(MID($B66&amp;REPT("a",60),ROW($A$1:$A$60),1),"ABCDEFGHIJKLMNOPQRSTUVWXYZabcdefghijklmnopqrstuvwxyzČĆĐŠŽčćđšž -'")))=0),"Ime sadrži znakove koji nisu slova",IF($C66="","Nedostaje pol",IF($D66="","Nedostaje pojas",IF(COUNTA(G66:N66)=0,"Nije izabrana nijedna disciplina",IF(SUMPRODUCT(--(G66:N66&lt;&gt;""),--(COUNTIF(INDIRECT("disc_"&amp;$E66),G66:N66)=0))&gt;0,"Izabrana disciplina nije moguća za uzrast "&amp;$E66,IF(AND(COUNTIF(G66:N66,"Fudokan sport kumite")&gt;0,O66=""),"Nedostaje telesna težina za Fudokan sport kumite",IF(AND(COUNTIF(G66:N66,"Fudokan sport kumite")=0,O66&lt;&gt;""),"Telesna težina se unosi isključivo uz Fudokan sport kumite",IF(AND(P66&lt;&gt;"",NOT(IFERROR(AND(UPPER(LEFT(P66,4))="FSS-",MID(P66,LEN(P66)-2,1)="/",ISNUMBER(VALUE(RIGHT(P66,2))),VALUE(MID(P66,5,LEN(P66)-7))&gt;=1,VALUE(MID(P66,5,LEN(P66)-7))=INT(VALUE(MID(P66,5,LEN(P66)-7)))),FALSE))),"FSS ID se upisuje u obliku FSS-12/26","prijava je kompletna"))))))))))))</f>
        <v/>
      </c>
      <c r="R66">
        <f>IF($E66="","sve_discipline","disc_"&amp;$E66)</f>
        <v/>
      </c>
      <c r="S66">
        <f>IF(OR($E66="",$C66=""),"sve_kilaze","kg_"&amp;$E66&amp;"_"&amp;IF($C66="ženski","Z","M"))</f>
        <v/>
      </c>
    </row>
    <row r="67" spans="1:19">
      <c r="A67" s="5"/>
      <c r="B67" s="5"/>
      <c r="C67" s="5"/>
      <c r="D67" s="5"/>
      <c r="E67" s="7">
        <f>IF($A67="","",LOOKUP($A67,INDEX(grupe,0,1),INDEX(grupe,0,2)))</f>
        <v/>
      </c>
      <c r="F67" s="7">
        <f>IF($E67="","",VLOOKUP($E67,INDEX(grupe,0,2):INDEX(grupe,0,3),2,FALSE))</f>
        <v/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8">
        <f>IF(COUNTA($A67:$D67,G67:N67,P67)=0,"",IF($A67="","Nedostaje godište",IF($E67="","Godište nije obuhvaćeno uzrasnom tabelom",IF($B67="","Nedostaje ime i prezime",IF(NOT(SUMPRODUCT(--ISERROR(FIND(MID($B67&amp;REPT("a",60),ROW($A$1:$A$60),1),"ABCDEFGHIJKLMNOPQRSTUVWXYZabcdefghijklmnopqrstuvwxyzČĆĐŠŽčćđšž -'")))=0),"Ime sadrži znakove koji nisu slova",IF($C67="","Nedostaje pol",IF($D67="","Nedostaje pojas",IF(COUNTA(G67:N67)=0,"Nije izabrana nijedna disciplina",IF(SUMPRODUCT(--(G67:N67&lt;&gt;""),--(COUNTIF(INDIRECT("disc_"&amp;$E67),G67:N67)=0))&gt;0,"Izabrana disciplina nije moguća za uzrast "&amp;$E67,IF(AND(COUNTIF(G67:N67,"Fudokan sport kumite")&gt;0,O67=""),"Nedostaje telesna težina za Fudokan sport kumite",IF(AND(COUNTIF(G67:N67,"Fudokan sport kumite")=0,O67&lt;&gt;""),"Telesna težina se unosi isključivo uz Fudokan sport kumite",IF(AND(P67&lt;&gt;"",NOT(IFERROR(AND(UPPER(LEFT(P67,4))="FSS-",MID(P67,LEN(P67)-2,1)="/",ISNUMBER(VALUE(RIGHT(P67,2))),VALUE(MID(P67,5,LEN(P67)-7))&gt;=1,VALUE(MID(P67,5,LEN(P67)-7))=INT(VALUE(MID(P67,5,LEN(P67)-7)))),FALSE))),"FSS ID se upisuje u obliku FSS-12/26","prijava je kompletna"))))))))))))</f>
        <v/>
      </c>
      <c r="R67">
        <f>IF($E67="","sve_discipline","disc_"&amp;$E67)</f>
        <v/>
      </c>
      <c r="S67">
        <f>IF(OR($E67="",$C67=""),"sve_kilaze","kg_"&amp;$E67&amp;"_"&amp;IF($C67="ženski","Z","M"))</f>
        <v/>
      </c>
    </row>
    <row r="68" spans="1:19">
      <c r="A68" s="5"/>
      <c r="B68" s="5"/>
      <c r="C68" s="5"/>
      <c r="D68" s="5"/>
      <c r="E68" s="7">
        <f>IF($A68="","",LOOKUP($A68,INDEX(grupe,0,1),INDEX(grupe,0,2)))</f>
        <v/>
      </c>
      <c r="F68" s="7">
        <f>IF($E68="","",VLOOKUP($E68,INDEX(grupe,0,2):INDEX(grupe,0,3),2,FALSE))</f>
        <v/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8">
        <f>IF(COUNTA($A68:$D68,G68:N68,P68)=0,"",IF($A68="","Nedostaje godište",IF($E68="","Godište nije obuhvaćeno uzrasnom tabelom",IF($B68="","Nedostaje ime i prezime",IF(NOT(SUMPRODUCT(--ISERROR(FIND(MID($B68&amp;REPT("a",60),ROW($A$1:$A$60),1),"ABCDEFGHIJKLMNOPQRSTUVWXYZabcdefghijklmnopqrstuvwxyzČĆĐŠŽčćđšž -'")))=0),"Ime sadrži znakove koji nisu slova",IF($C68="","Nedostaje pol",IF($D68="","Nedostaje pojas",IF(COUNTA(G68:N68)=0,"Nije izabrana nijedna disciplina",IF(SUMPRODUCT(--(G68:N68&lt;&gt;""),--(COUNTIF(INDIRECT("disc_"&amp;$E68),G68:N68)=0))&gt;0,"Izabrana disciplina nije moguća za uzrast "&amp;$E68,IF(AND(COUNTIF(G68:N68,"Fudokan sport kumite")&gt;0,O68=""),"Nedostaje telesna težina za Fudokan sport kumite",IF(AND(COUNTIF(G68:N68,"Fudokan sport kumite")=0,O68&lt;&gt;""),"Telesna težina se unosi isključivo uz Fudokan sport kumite",IF(AND(P68&lt;&gt;"",NOT(IFERROR(AND(UPPER(LEFT(P68,4))="FSS-",MID(P68,LEN(P68)-2,1)="/",ISNUMBER(VALUE(RIGHT(P68,2))),VALUE(MID(P68,5,LEN(P68)-7))&gt;=1,VALUE(MID(P68,5,LEN(P68)-7))=INT(VALUE(MID(P68,5,LEN(P68)-7)))),FALSE))),"FSS ID se upisuje u obliku FSS-12/26","prijava je kompletna"))))))))))))</f>
        <v/>
      </c>
      <c r="R68">
        <f>IF($E68="","sve_discipline","disc_"&amp;$E68)</f>
        <v/>
      </c>
      <c r="S68">
        <f>IF(OR($E68="",$C68=""),"sve_kilaze","kg_"&amp;$E68&amp;"_"&amp;IF($C68="ženski","Z","M"))</f>
        <v/>
      </c>
    </row>
    <row r="69" spans="1:19">
      <c r="A69" s="5"/>
      <c r="B69" s="5"/>
      <c r="C69" s="5"/>
      <c r="D69" s="5"/>
      <c r="E69" s="7">
        <f>IF($A69="","",LOOKUP($A69,INDEX(grupe,0,1),INDEX(grupe,0,2)))</f>
        <v/>
      </c>
      <c r="F69" s="7">
        <f>IF($E69="","",VLOOKUP($E69,INDEX(grupe,0,2):INDEX(grupe,0,3),2,FALSE))</f>
        <v/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8">
        <f>IF(COUNTA($A69:$D69,G69:N69,P69)=0,"",IF($A69="","Nedostaje godište",IF($E69="","Godište nije obuhvaćeno uzrasnom tabelom",IF($B69="","Nedostaje ime i prezime",IF(NOT(SUMPRODUCT(--ISERROR(FIND(MID($B69&amp;REPT("a",60),ROW($A$1:$A$60),1),"ABCDEFGHIJKLMNOPQRSTUVWXYZabcdefghijklmnopqrstuvwxyzČĆĐŠŽčćđšž -'")))=0),"Ime sadrži znakove koji nisu slova",IF($C69="","Nedostaje pol",IF($D69="","Nedostaje pojas",IF(COUNTA(G69:N69)=0,"Nije izabrana nijedna disciplina",IF(SUMPRODUCT(--(G69:N69&lt;&gt;""),--(COUNTIF(INDIRECT("disc_"&amp;$E69),G69:N69)=0))&gt;0,"Izabrana disciplina nije moguća za uzrast "&amp;$E69,IF(AND(COUNTIF(G69:N69,"Fudokan sport kumite")&gt;0,O69=""),"Nedostaje telesna težina za Fudokan sport kumite",IF(AND(COUNTIF(G69:N69,"Fudokan sport kumite")=0,O69&lt;&gt;""),"Telesna težina se unosi isključivo uz Fudokan sport kumite",IF(AND(P69&lt;&gt;"",NOT(IFERROR(AND(UPPER(LEFT(P69,4))="FSS-",MID(P69,LEN(P69)-2,1)="/",ISNUMBER(VALUE(RIGHT(P69,2))),VALUE(MID(P69,5,LEN(P69)-7))&gt;=1,VALUE(MID(P69,5,LEN(P69)-7))=INT(VALUE(MID(P69,5,LEN(P69)-7)))),FALSE))),"FSS ID se upisuje u obliku FSS-12/26","prijava je kompletna"))))))))))))</f>
        <v/>
      </c>
      <c r="R69">
        <f>IF($E69="","sve_discipline","disc_"&amp;$E69)</f>
        <v/>
      </c>
      <c r="S69">
        <f>IF(OR($E69="",$C69=""),"sve_kilaze","kg_"&amp;$E69&amp;"_"&amp;IF($C69="ženski","Z","M"))</f>
        <v/>
      </c>
    </row>
    <row r="70" spans="1:19">
      <c r="A70" s="5"/>
      <c r="B70" s="5"/>
      <c r="C70" s="5"/>
      <c r="D70" s="5"/>
      <c r="E70" s="7">
        <f>IF($A70="","",LOOKUP($A70,INDEX(grupe,0,1),INDEX(grupe,0,2)))</f>
        <v/>
      </c>
      <c r="F70" s="7">
        <f>IF($E70="","",VLOOKUP($E70,INDEX(grupe,0,2):INDEX(grupe,0,3),2,FALSE))</f>
        <v/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8">
        <f>IF(COUNTA($A70:$D70,G70:N70,P70)=0,"",IF($A70="","Nedostaje godište",IF($E70="","Godište nije obuhvaćeno uzrasnom tabelom",IF($B70="","Nedostaje ime i prezime",IF(NOT(SUMPRODUCT(--ISERROR(FIND(MID($B70&amp;REPT("a",60),ROW($A$1:$A$60),1),"ABCDEFGHIJKLMNOPQRSTUVWXYZabcdefghijklmnopqrstuvwxyzČĆĐŠŽčćđšž -'")))=0),"Ime sadrži znakove koji nisu slova",IF($C70="","Nedostaje pol",IF($D70="","Nedostaje pojas",IF(COUNTA(G70:N70)=0,"Nije izabrana nijedna disciplina",IF(SUMPRODUCT(--(G70:N70&lt;&gt;""),--(COUNTIF(INDIRECT("disc_"&amp;$E70),G70:N70)=0))&gt;0,"Izabrana disciplina nije moguća za uzrast "&amp;$E70,IF(AND(COUNTIF(G70:N70,"Fudokan sport kumite")&gt;0,O70=""),"Nedostaje telesna težina za Fudokan sport kumite",IF(AND(COUNTIF(G70:N70,"Fudokan sport kumite")=0,O70&lt;&gt;""),"Telesna težina se unosi isključivo uz Fudokan sport kumite",IF(AND(P70&lt;&gt;"",NOT(IFERROR(AND(UPPER(LEFT(P70,4))="FSS-",MID(P70,LEN(P70)-2,1)="/",ISNUMBER(VALUE(RIGHT(P70,2))),VALUE(MID(P70,5,LEN(P70)-7))&gt;=1,VALUE(MID(P70,5,LEN(P70)-7))=INT(VALUE(MID(P70,5,LEN(P70)-7)))),FALSE))),"FSS ID se upisuje u obliku FSS-12/26","prijava je kompletna"))))))))))))</f>
        <v/>
      </c>
      <c r="R70">
        <f>IF($E70="","sve_discipline","disc_"&amp;$E70)</f>
        <v/>
      </c>
      <c r="S70">
        <f>IF(OR($E70="",$C70=""),"sve_kilaze","kg_"&amp;$E70&amp;"_"&amp;IF($C70="ženski","Z","M"))</f>
        <v/>
      </c>
    </row>
    <row r="71" spans="1:19">
      <c r="A71" s="5"/>
      <c r="B71" s="5"/>
      <c r="C71" s="5"/>
      <c r="D71" s="5"/>
      <c r="E71" s="7">
        <f>IF($A71="","",LOOKUP($A71,INDEX(grupe,0,1),INDEX(grupe,0,2)))</f>
        <v/>
      </c>
      <c r="F71" s="7">
        <f>IF($E71="","",VLOOKUP($E71,INDEX(grupe,0,2):INDEX(grupe,0,3),2,FALSE))</f>
        <v/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8">
        <f>IF(COUNTA($A71:$D71,G71:N71,P71)=0,"",IF($A71="","Nedostaje godište",IF($E71="","Godište nije obuhvaćeno uzrasnom tabelom",IF($B71="","Nedostaje ime i prezime",IF(NOT(SUMPRODUCT(--ISERROR(FIND(MID($B71&amp;REPT("a",60),ROW($A$1:$A$60),1),"ABCDEFGHIJKLMNOPQRSTUVWXYZabcdefghijklmnopqrstuvwxyzČĆĐŠŽčćđšž -'")))=0),"Ime sadrži znakove koji nisu slova",IF($C71="","Nedostaje pol",IF($D71="","Nedostaje pojas",IF(COUNTA(G71:N71)=0,"Nije izabrana nijedna disciplina",IF(SUMPRODUCT(--(G71:N71&lt;&gt;""),--(COUNTIF(INDIRECT("disc_"&amp;$E71),G71:N71)=0))&gt;0,"Izabrana disciplina nije moguća za uzrast "&amp;$E71,IF(AND(COUNTIF(G71:N71,"Fudokan sport kumite")&gt;0,O71=""),"Nedostaje telesna težina za Fudokan sport kumite",IF(AND(COUNTIF(G71:N71,"Fudokan sport kumite")=0,O71&lt;&gt;""),"Telesna težina se unosi isključivo uz Fudokan sport kumite",IF(AND(P71&lt;&gt;"",NOT(IFERROR(AND(UPPER(LEFT(P71,4))="FSS-",MID(P71,LEN(P71)-2,1)="/",ISNUMBER(VALUE(RIGHT(P71,2))),VALUE(MID(P71,5,LEN(P71)-7))&gt;=1,VALUE(MID(P71,5,LEN(P71)-7))=INT(VALUE(MID(P71,5,LEN(P71)-7)))),FALSE))),"FSS ID se upisuje u obliku FSS-12/26","prijava je kompletna"))))))))))))</f>
        <v/>
      </c>
      <c r="R71">
        <f>IF($E71="","sve_discipline","disc_"&amp;$E71)</f>
        <v/>
      </c>
      <c r="S71">
        <f>IF(OR($E71="",$C71=""),"sve_kilaze","kg_"&amp;$E71&amp;"_"&amp;IF($C71="ženski","Z","M"))</f>
        <v/>
      </c>
    </row>
    <row r="72" spans="1:19">
      <c r="A72" s="5"/>
      <c r="B72" s="5"/>
      <c r="C72" s="5"/>
      <c r="D72" s="5"/>
      <c r="E72" s="7">
        <f>IF($A72="","",LOOKUP($A72,INDEX(grupe,0,1),INDEX(grupe,0,2)))</f>
        <v/>
      </c>
      <c r="F72" s="7">
        <f>IF($E72="","",VLOOKUP($E72,INDEX(grupe,0,2):INDEX(grupe,0,3),2,FALSE))</f>
        <v/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8">
        <f>IF(COUNTA($A72:$D72,G72:N72,P72)=0,"",IF($A72="","Nedostaje godište",IF($E72="","Godište nije obuhvaćeno uzrasnom tabelom",IF($B72="","Nedostaje ime i prezime",IF(NOT(SUMPRODUCT(--ISERROR(FIND(MID($B72&amp;REPT("a",60),ROW($A$1:$A$60),1),"ABCDEFGHIJKLMNOPQRSTUVWXYZabcdefghijklmnopqrstuvwxyzČĆĐŠŽčćđšž -'")))=0),"Ime sadrži znakove koji nisu slova",IF($C72="","Nedostaje pol",IF($D72="","Nedostaje pojas",IF(COUNTA(G72:N72)=0,"Nije izabrana nijedna disciplina",IF(SUMPRODUCT(--(G72:N72&lt;&gt;""),--(COUNTIF(INDIRECT("disc_"&amp;$E72),G72:N72)=0))&gt;0,"Izabrana disciplina nije moguća za uzrast "&amp;$E72,IF(AND(COUNTIF(G72:N72,"Fudokan sport kumite")&gt;0,O72=""),"Nedostaje telesna težina za Fudokan sport kumite",IF(AND(COUNTIF(G72:N72,"Fudokan sport kumite")=0,O72&lt;&gt;""),"Telesna težina se unosi isključivo uz Fudokan sport kumite",IF(AND(P72&lt;&gt;"",NOT(IFERROR(AND(UPPER(LEFT(P72,4))="FSS-",MID(P72,LEN(P72)-2,1)="/",ISNUMBER(VALUE(RIGHT(P72,2))),VALUE(MID(P72,5,LEN(P72)-7))&gt;=1,VALUE(MID(P72,5,LEN(P72)-7))=INT(VALUE(MID(P72,5,LEN(P72)-7)))),FALSE))),"FSS ID se upisuje u obliku FSS-12/26","prijava je kompletna"))))))))))))</f>
        <v/>
      </c>
      <c r="R72">
        <f>IF($E72="","sve_discipline","disc_"&amp;$E72)</f>
        <v/>
      </c>
      <c r="S72">
        <f>IF(OR($E72="",$C72=""),"sve_kilaze","kg_"&amp;$E72&amp;"_"&amp;IF($C72="ženski","Z","M"))</f>
        <v/>
      </c>
    </row>
    <row r="73" spans="1:19">
      <c r="A73" s="5"/>
      <c r="B73" s="5"/>
      <c r="C73" s="5"/>
      <c r="D73" s="5"/>
      <c r="E73" s="7">
        <f>IF($A73="","",LOOKUP($A73,INDEX(grupe,0,1),INDEX(grupe,0,2)))</f>
        <v/>
      </c>
      <c r="F73" s="7">
        <f>IF($E73="","",VLOOKUP($E73,INDEX(grupe,0,2):INDEX(grupe,0,3),2,FALSE))</f>
        <v/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8">
        <f>IF(COUNTA($A73:$D73,G73:N73,P73)=0,"",IF($A73="","Nedostaje godište",IF($E73="","Godište nije obuhvaćeno uzrasnom tabelom",IF($B73="","Nedostaje ime i prezime",IF(NOT(SUMPRODUCT(--ISERROR(FIND(MID($B73&amp;REPT("a",60),ROW($A$1:$A$60),1),"ABCDEFGHIJKLMNOPQRSTUVWXYZabcdefghijklmnopqrstuvwxyzČĆĐŠŽčćđšž -'")))=0),"Ime sadrži znakove koji nisu slova",IF($C73="","Nedostaje pol",IF($D73="","Nedostaje pojas",IF(COUNTA(G73:N73)=0,"Nije izabrana nijedna disciplina",IF(SUMPRODUCT(--(G73:N73&lt;&gt;""),--(COUNTIF(INDIRECT("disc_"&amp;$E73),G73:N73)=0))&gt;0,"Izabrana disciplina nije moguća za uzrast "&amp;$E73,IF(AND(COUNTIF(G73:N73,"Fudokan sport kumite")&gt;0,O73=""),"Nedostaje telesna težina za Fudokan sport kumite",IF(AND(COUNTIF(G73:N73,"Fudokan sport kumite")=0,O73&lt;&gt;""),"Telesna težina se unosi isključivo uz Fudokan sport kumite",IF(AND(P73&lt;&gt;"",NOT(IFERROR(AND(UPPER(LEFT(P73,4))="FSS-",MID(P73,LEN(P73)-2,1)="/",ISNUMBER(VALUE(RIGHT(P73,2))),VALUE(MID(P73,5,LEN(P73)-7))&gt;=1,VALUE(MID(P73,5,LEN(P73)-7))=INT(VALUE(MID(P73,5,LEN(P73)-7)))),FALSE))),"FSS ID se upisuje u obliku FSS-12/26","prijava je kompletna"))))))))))))</f>
        <v/>
      </c>
      <c r="R73">
        <f>IF($E73="","sve_discipline","disc_"&amp;$E73)</f>
        <v/>
      </c>
      <c r="S73">
        <f>IF(OR($E73="",$C73=""),"sve_kilaze","kg_"&amp;$E73&amp;"_"&amp;IF($C73="ženski","Z","M"))</f>
        <v/>
      </c>
    </row>
    <row r="74" spans="1:19">
      <c r="A74" s="5"/>
      <c r="B74" s="5"/>
      <c r="C74" s="5"/>
      <c r="D74" s="5"/>
      <c r="E74" s="7">
        <f>IF($A74="","",LOOKUP($A74,INDEX(grupe,0,1),INDEX(grupe,0,2)))</f>
        <v/>
      </c>
      <c r="F74" s="7">
        <f>IF($E74="","",VLOOKUP($E74,INDEX(grupe,0,2):INDEX(grupe,0,3),2,FALSE))</f>
        <v/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8">
        <f>IF(COUNTA($A74:$D74,G74:N74,P74)=0,"",IF($A74="","Nedostaje godište",IF($E74="","Godište nije obuhvaćeno uzrasnom tabelom",IF($B74="","Nedostaje ime i prezime",IF(NOT(SUMPRODUCT(--ISERROR(FIND(MID($B74&amp;REPT("a",60),ROW($A$1:$A$60),1),"ABCDEFGHIJKLMNOPQRSTUVWXYZabcdefghijklmnopqrstuvwxyzČĆĐŠŽčćđšž -'")))=0),"Ime sadrži znakove koji nisu slova",IF($C74="","Nedostaje pol",IF($D74="","Nedostaje pojas",IF(COUNTA(G74:N74)=0,"Nije izabrana nijedna disciplina",IF(SUMPRODUCT(--(G74:N74&lt;&gt;""),--(COUNTIF(INDIRECT("disc_"&amp;$E74),G74:N74)=0))&gt;0,"Izabrana disciplina nije moguća za uzrast "&amp;$E74,IF(AND(COUNTIF(G74:N74,"Fudokan sport kumite")&gt;0,O74=""),"Nedostaje telesna težina za Fudokan sport kumite",IF(AND(COUNTIF(G74:N74,"Fudokan sport kumite")=0,O74&lt;&gt;""),"Telesna težina se unosi isključivo uz Fudokan sport kumite",IF(AND(P74&lt;&gt;"",NOT(IFERROR(AND(UPPER(LEFT(P74,4))="FSS-",MID(P74,LEN(P74)-2,1)="/",ISNUMBER(VALUE(RIGHT(P74,2))),VALUE(MID(P74,5,LEN(P74)-7))&gt;=1,VALUE(MID(P74,5,LEN(P74)-7))=INT(VALUE(MID(P74,5,LEN(P74)-7)))),FALSE))),"FSS ID se upisuje u obliku FSS-12/26","prijava je kompletna"))))))))))))</f>
        <v/>
      </c>
      <c r="R74">
        <f>IF($E74="","sve_discipline","disc_"&amp;$E74)</f>
        <v/>
      </c>
      <c r="S74">
        <f>IF(OR($E74="",$C74=""),"sve_kilaze","kg_"&amp;$E74&amp;"_"&amp;IF($C74="ženski","Z","M"))</f>
        <v/>
      </c>
    </row>
    <row r="75" spans="1:19">
      <c r="A75" s="5"/>
      <c r="B75" s="5"/>
      <c r="C75" s="5"/>
      <c r="D75" s="5"/>
      <c r="E75" s="7">
        <f>IF($A75="","",LOOKUP($A75,INDEX(grupe,0,1),INDEX(grupe,0,2)))</f>
        <v/>
      </c>
      <c r="F75" s="7">
        <f>IF($E75="","",VLOOKUP($E75,INDEX(grupe,0,2):INDEX(grupe,0,3),2,FALSE))</f>
        <v/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8">
        <f>IF(COUNTA($A75:$D75,G75:N75,P75)=0,"",IF($A75="","Nedostaje godište",IF($E75="","Godište nije obuhvaćeno uzrasnom tabelom",IF($B75="","Nedostaje ime i prezime",IF(NOT(SUMPRODUCT(--ISERROR(FIND(MID($B75&amp;REPT("a",60),ROW($A$1:$A$60),1),"ABCDEFGHIJKLMNOPQRSTUVWXYZabcdefghijklmnopqrstuvwxyzČĆĐŠŽčćđšž -'")))=0),"Ime sadrži znakove koji nisu slova",IF($C75="","Nedostaje pol",IF($D75="","Nedostaje pojas",IF(COUNTA(G75:N75)=0,"Nije izabrana nijedna disciplina",IF(SUMPRODUCT(--(G75:N75&lt;&gt;""),--(COUNTIF(INDIRECT("disc_"&amp;$E75),G75:N75)=0))&gt;0,"Izabrana disciplina nije moguća za uzrast "&amp;$E75,IF(AND(COUNTIF(G75:N75,"Fudokan sport kumite")&gt;0,O75=""),"Nedostaje telesna težina za Fudokan sport kumite",IF(AND(COUNTIF(G75:N75,"Fudokan sport kumite")=0,O75&lt;&gt;""),"Telesna težina se unosi isključivo uz Fudokan sport kumite",IF(AND(P75&lt;&gt;"",NOT(IFERROR(AND(UPPER(LEFT(P75,4))="FSS-",MID(P75,LEN(P75)-2,1)="/",ISNUMBER(VALUE(RIGHT(P75,2))),VALUE(MID(P75,5,LEN(P75)-7))&gt;=1,VALUE(MID(P75,5,LEN(P75)-7))=INT(VALUE(MID(P75,5,LEN(P75)-7)))),FALSE))),"FSS ID se upisuje u obliku FSS-12/26","prijava je kompletna"))))))))))))</f>
        <v/>
      </c>
      <c r="R75">
        <f>IF($E75="","sve_discipline","disc_"&amp;$E75)</f>
        <v/>
      </c>
      <c r="S75">
        <f>IF(OR($E75="",$C75=""),"sve_kilaze","kg_"&amp;$E75&amp;"_"&amp;IF($C75="ženski","Z","M"))</f>
        <v/>
      </c>
    </row>
    <row r="76" spans="1:19">
      <c r="A76" s="5"/>
      <c r="B76" s="5"/>
      <c r="C76" s="5"/>
      <c r="D76" s="5"/>
      <c r="E76" s="7">
        <f>IF($A76="","",LOOKUP($A76,INDEX(grupe,0,1),INDEX(grupe,0,2)))</f>
        <v/>
      </c>
      <c r="F76" s="7">
        <f>IF($E76="","",VLOOKUP($E76,INDEX(grupe,0,2):INDEX(grupe,0,3),2,FALSE))</f>
        <v/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8">
        <f>IF(COUNTA($A76:$D76,G76:N76,P76)=0,"",IF($A76="","Nedostaje godište",IF($E76="","Godište nije obuhvaćeno uzrasnom tabelom",IF($B76="","Nedostaje ime i prezime",IF(NOT(SUMPRODUCT(--ISERROR(FIND(MID($B76&amp;REPT("a",60),ROW($A$1:$A$60),1),"ABCDEFGHIJKLMNOPQRSTUVWXYZabcdefghijklmnopqrstuvwxyzČĆĐŠŽčćđšž -'")))=0),"Ime sadrži znakove koji nisu slova",IF($C76="","Nedostaje pol",IF($D76="","Nedostaje pojas",IF(COUNTA(G76:N76)=0,"Nije izabrana nijedna disciplina",IF(SUMPRODUCT(--(G76:N76&lt;&gt;""),--(COUNTIF(INDIRECT("disc_"&amp;$E76),G76:N76)=0))&gt;0,"Izabrana disciplina nije moguća za uzrast "&amp;$E76,IF(AND(COUNTIF(G76:N76,"Fudokan sport kumite")&gt;0,O76=""),"Nedostaje telesna težina za Fudokan sport kumite",IF(AND(COUNTIF(G76:N76,"Fudokan sport kumite")=0,O76&lt;&gt;""),"Telesna težina se unosi isključivo uz Fudokan sport kumite",IF(AND(P76&lt;&gt;"",NOT(IFERROR(AND(UPPER(LEFT(P76,4))="FSS-",MID(P76,LEN(P76)-2,1)="/",ISNUMBER(VALUE(RIGHT(P76,2))),VALUE(MID(P76,5,LEN(P76)-7))&gt;=1,VALUE(MID(P76,5,LEN(P76)-7))=INT(VALUE(MID(P76,5,LEN(P76)-7)))),FALSE))),"FSS ID se upisuje u obliku FSS-12/26","prijava je kompletna"))))))))))))</f>
        <v/>
      </c>
      <c r="R76">
        <f>IF($E76="","sve_discipline","disc_"&amp;$E76)</f>
        <v/>
      </c>
      <c r="S76">
        <f>IF(OR($E76="",$C76=""),"sve_kilaze","kg_"&amp;$E76&amp;"_"&amp;IF($C76="ženski","Z","M"))</f>
        <v/>
      </c>
    </row>
    <row r="77" spans="1:19">
      <c r="A77" s="5"/>
      <c r="B77" s="5"/>
      <c r="C77" s="5"/>
      <c r="D77" s="5"/>
      <c r="E77" s="7">
        <f>IF($A77="","",LOOKUP($A77,INDEX(grupe,0,1),INDEX(grupe,0,2)))</f>
        <v/>
      </c>
      <c r="F77" s="7">
        <f>IF($E77="","",VLOOKUP($E77,INDEX(grupe,0,2):INDEX(grupe,0,3),2,FALSE))</f>
        <v/>
      </c>
      <c r="G77" s="5"/>
      <c r="H77" s="5"/>
      <c r="I77" s="5"/>
      <c r="J77" s="5"/>
      <c r="K77" s="5"/>
      <c r="L77" s="5"/>
      <c r="M77" s="5"/>
      <c r="N77" s="5"/>
      <c r="O77" s="5"/>
      <c r="P77" s="5"/>
      <c r="Q77" s="8">
        <f>IF(COUNTA($A77:$D77,G77:N77,P77)=0,"",IF($A77="","Nedostaje godište",IF($E77="","Godište nije obuhvaćeno uzrasnom tabelom",IF($B77="","Nedostaje ime i prezime",IF(NOT(SUMPRODUCT(--ISERROR(FIND(MID($B77&amp;REPT("a",60),ROW($A$1:$A$60),1),"ABCDEFGHIJKLMNOPQRSTUVWXYZabcdefghijklmnopqrstuvwxyzČĆĐŠŽčćđšž -'")))=0),"Ime sadrži znakove koji nisu slova",IF($C77="","Nedostaje pol",IF($D77="","Nedostaje pojas",IF(COUNTA(G77:N77)=0,"Nije izabrana nijedna disciplina",IF(SUMPRODUCT(--(G77:N77&lt;&gt;""),--(COUNTIF(INDIRECT("disc_"&amp;$E77),G77:N77)=0))&gt;0,"Izabrana disciplina nije moguća za uzrast "&amp;$E77,IF(AND(COUNTIF(G77:N77,"Fudokan sport kumite")&gt;0,O77=""),"Nedostaje telesna težina za Fudokan sport kumite",IF(AND(COUNTIF(G77:N77,"Fudokan sport kumite")=0,O77&lt;&gt;""),"Telesna težina se unosi isključivo uz Fudokan sport kumite",IF(AND(P77&lt;&gt;"",NOT(IFERROR(AND(UPPER(LEFT(P77,4))="FSS-",MID(P77,LEN(P77)-2,1)="/",ISNUMBER(VALUE(RIGHT(P77,2))),VALUE(MID(P77,5,LEN(P77)-7))&gt;=1,VALUE(MID(P77,5,LEN(P77)-7))=INT(VALUE(MID(P77,5,LEN(P77)-7)))),FALSE))),"FSS ID se upisuje u obliku FSS-12/26","prijava je kompletna"))))))))))))</f>
        <v/>
      </c>
      <c r="R77">
        <f>IF($E77="","sve_discipline","disc_"&amp;$E77)</f>
        <v/>
      </c>
      <c r="S77">
        <f>IF(OR($E77="",$C77=""),"sve_kilaze","kg_"&amp;$E77&amp;"_"&amp;IF($C77="ženski","Z","M"))</f>
        <v/>
      </c>
    </row>
    <row r="78" spans="1:19">
      <c r="A78" s="5"/>
      <c r="B78" s="5"/>
      <c r="C78" s="5"/>
      <c r="D78" s="5"/>
      <c r="E78" s="7">
        <f>IF($A78="","",LOOKUP($A78,INDEX(grupe,0,1),INDEX(grupe,0,2)))</f>
        <v/>
      </c>
      <c r="F78" s="7">
        <f>IF($E78="","",VLOOKUP($E78,INDEX(grupe,0,2):INDEX(grupe,0,3),2,FALSE))</f>
        <v/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8">
        <f>IF(COUNTA($A78:$D78,G78:N78,P78)=0,"",IF($A78="","Nedostaje godište",IF($E78="","Godište nije obuhvaćeno uzrasnom tabelom",IF($B78="","Nedostaje ime i prezime",IF(NOT(SUMPRODUCT(--ISERROR(FIND(MID($B78&amp;REPT("a",60),ROW($A$1:$A$60),1),"ABCDEFGHIJKLMNOPQRSTUVWXYZabcdefghijklmnopqrstuvwxyzČĆĐŠŽčćđšž -'")))=0),"Ime sadrži znakove koji nisu slova",IF($C78="","Nedostaje pol",IF($D78="","Nedostaje pojas",IF(COUNTA(G78:N78)=0,"Nije izabrana nijedna disciplina",IF(SUMPRODUCT(--(G78:N78&lt;&gt;""),--(COUNTIF(INDIRECT("disc_"&amp;$E78),G78:N78)=0))&gt;0,"Izabrana disciplina nije moguća za uzrast "&amp;$E78,IF(AND(COUNTIF(G78:N78,"Fudokan sport kumite")&gt;0,O78=""),"Nedostaje telesna težina za Fudokan sport kumite",IF(AND(COUNTIF(G78:N78,"Fudokan sport kumite")=0,O78&lt;&gt;""),"Telesna težina se unosi isključivo uz Fudokan sport kumite",IF(AND(P78&lt;&gt;"",NOT(IFERROR(AND(UPPER(LEFT(P78,4))="FSS-",MID(P78,LEN(P78)-2,1)="/",ISNUMBER(VALUE(RIGHT(P78,2))),VALUE(MID(P78,5,LEN(P78)-7))&gt;=1,VALUE(MID(P78,5,LEN(P78)-7))=INT(VALUE(MID(P78,5,LEN(P78)-7)))),FALSE))),"FSS ID se upisuje u obliku FSS-12/26","prijava je kompletna"))))))))))))</f>
        <v/>
      </c>
      <c r="R78">
        <f>IF($E78="","sve_discipline","disc_"&amp;$E78)</f>
        <v/>
      </c>
      <c r="S78">
        <f>IF(OR($E78="",$C78=""),"sve_kilaze","kg_"&amp;$E78&amp;"_"&amp;IF($C78="ženski","Z","M"))</f>
        <v/>
      </c>
    </row>
    <row r="79" spans="1:19">
      <c r="A79" s="5"/>
      <c r="B79" s="5"/>
      <c r="C79" s="5"/>
      <c r="D79" s="5"/>
      <c r="E79" s="7">
        <f>IF($A79="","",LOOKUP($A79,INDEX(grupe,0,1),INDEX(grupe,0,2)))</f>
        <v/>
      </c>
      <c r="F79" s="7">
        <f>IF($E79="","",VLOOKUP($E79,INDEX(grupe,0,2):INDEX(grupe,0,3),2,FALSE))</f>
        <v/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8">
        <f>IF(COUNTA($A79:$D79,G79:N79,P79)=0,"",IF($A79="","Nedostaje godište",IF($E79="","Godište nije obuhvaćeno uzrasnom tabelom",IF($B79="","Nedostaje ime i prezime",IF(NOT(SUMPRODUCT(--ISERROR(FIND(MID($B79&amp;REPT("a",60),ROW($A$1:$A$60),1),"ABCDEFGHIJKLMNOPQRSTUVWXYZabcdefghijklmnopqrstuvwxyzČĆĐŠŽčćđšž -'")))=0),"Ime sadrži znakove koji nisu slova",IF($C79="","Nedostaje pol",IF($D79="","Nedostaje pojas",IF(COUNTA(G79:N79)=0,"Nije izabrana nijedna disciplina",IF(SUMPRODUCT(--(G79:N79&lt;&gt;""),--(COUNTIF(INDIRECT("disc_"&amp;$E79),G79:N79)=0))&gt;0,"Izabrana disciplina nije moguća za uzrast "&amp;$E79,IF(AND(COUNTIF(G79:N79,"Fudokan sport kumite")&gt;0,O79=""),"Nedostaje telesna težina za Fudokan sport kumite",IF(AND(COUNTIF(G79:N79,"Fudokan sport kumite")=0,O79&lt;&gt;""),"Telesna težina se unosi isključivo uz Fudokan sport kumite",IF(AND(P79&lt;&gt;"",NOT(IFERROR(AND(UPPER(LEFT(P79,4))="FSS-",MID(P79,LEN(P79)-2,1)="/",ISNUMBER(VALUE(RIGHT(P79,2))),VALUE(MID(P79,5,LEN(P79)-7))&gt;=1,VALUE(MID(P79,5,LEN(P79)-7))=INT(VALUE(MID(P79,5,LEN(P79)-7)))),FALSE))),"FSS ID se upisuje u obliku FSS-12/26","prijava je kompletna"))))))))))))</f>
        <v/>
      </c>
      <c r="R79">
        <f>IF($E79="","sve_discipline","disc_"&amp;$E79)</f>
        <v/>
      </c>
      <c r="S79">
        <f>IF(OR($E79="",$C79=""),"sve_kilaze","kg_"&amp;$E79&amp;"_"&amp;IF($C79="ženski","Z","M"))</f>
        <v/>
      </c>
    </row>
    <row r="80" spans="1:19">
      <c r="A80" s="5"/>
      <c r="B80" s="5"/>
      <c r="C80" s="5"/>
      <c r="D80" s="5"/>
      <c r="E80" s="7">
        <f>IF($A80="","",LOOKUP($A80,INDEX(grupe,0,1),INDEX(grupe,0,2)))</f>
        <v/>
      </c>
      <c r="F80" s="7">
        <f>IF($E80="","",VLOOKUP($E80,INDEX(grupe,0,2):INDEX(grupe,0,3),2,FALSE))</f>
        <v/>
      </c>
      <c r="G80" s="5"/>
      <c r="H80" s="5"/>
      <c r="I80" s="5"/>
      <c r="J80" s="5"/>
      <c r="K80" s="5"/>
      <c r="L80" s="5"/>
      <c r="M80" s="5"/>
      <c r="N80" s="5"/>
      <c r="O80" s="5"/>
      <c r="P80" s="5"/>
      <c r="Q80" s="8">
        <f>IF(COUNTA($A80:$D80,G80:N80,P80)=0,"",IF($A80="","Nedostaje godište",IF($E80="","Godište nije obuhvaćeno uzrasnom tabelom",IF($B80="","Nedostaje ime i prezime",IF(NOT(SUMPRODUCT(--ISERROR(FIND(MID($B80&amp;REPT("a",60),ROW($A$1:$A$60),1),"ABCDEFGHIJKLMNOPQRSTUVWXYZabcdefghijklmnopqrstuvwxyzČĆĐŠŽčćđšž -'")))=0),"Ime sadrži znakove koji nisu slova",IF($C80="","Nedostaje pol",IF($D80="","Nedostaje pojas",IF(COUNTA(G80:N80)=0,"Nije izabrana nijedna disciplina",IF(SUMPRODUCT(--(G80:N80&lt;&gt;""),--(COUNTIF(INDIRECT("disc_"&amp;$E80),G80:N80)=0))&gt;0,"Izabrana disciplina nije moguća za uzrast "&amp;$E80,IF(AND(COUNTIF(G80:N80,"Fudokan sport kumite")&gt;0,O80=""),"Nedostaje telesna težina za Fudokan sport kumite",IF(AND(COUNTIF(G80:N80,"Fudokan sport kumite")=0,O80&lt;&gt;""),"Telesna težina se unosi isključivo uz Fudokan sport kumite",IF(AND(P80&lt;&gt;"",NOT(IFERROR(AND(UPPER(LEFT(P80,4))="FSS-",MID(P80,LEN(P80)-2,1)="/",ISNUMBER(VALUE(RIGHT(P80,2))),VALUE(MID(P80,5,LEN(P80)-7))&gt;=1,VALUE(MID(P80,5,LEN(P80)-7))=INT(VALUE(MID(P80,5,LEN(P80)-7)))),FALSE))),"FSS ID se upisuje u obliku FSS-12/26","prijava je kompletna"))))))))))))</f>
        <v/>
      </c>
      <c r="R80">
        <f>IF($E80="","sve_discipline","disc_"&amp;$E80)</f>
        <v/>
      </c>
      <c r="S80">
        <f>IF(OR($E80="",$C80=""),"sve_kilaze","kg_"&amp;$E80&amp;"_"&amp;IF($C80="ženski","Z","M"))</f>
        <v/>
      </c>
    </row>
    <row r="81" spans="1:19">
      <c r="A81" s="5"/>
      <c r="B81" s="5"/>
      <c r="C81" s="5"/>
      <c r="D81" s="5"/>
      <c r="E81" s="7">
        <f>IF($A81="","",LOOKUP($A81,INDEX(grupe,0,1),INDEX(grupe,0,2)))</f>
        <v/>
      </c>
      <c r="F81" s="7">
        <f>IF($E81="","",VLOOKUP($E81,INDEX(grupe,0,2):INDEX(grupe,0,3),2,FALSE))</f>
        <v/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8">
        <f>IF(COUNTA($A81:$D81,G81:N81,P81)=0,"",IF($A81="","Nedostaje godište",IF($E81="","Godište nije obuhvaćeno uzrasnom tabelom",IF($B81="","Nedostaje ime i prezime",IF(NOT(SUMPRODUCT(--ISERROR(FIND(MID($B81&amp;REPT("a",60),ROW($A$1:$A$60),1),"ABCDEFGHIJKLMNOPQRSTUVWXYZabcdefghijklmnopqrstuvwxyzČĆĐŠŽčćđšž -'")))=0),"Ime sadrži znakove koji nisu slova",IF($C81="","Nedostaje pol",IF($D81="","Nedostaje pojas",IF(COUNTA(G81:N81)=0,"Nije izabrana nijedna disciplina",IF(SUMPRODUCT(--(G81:N81&lt;&gt;""),--(COUNTIF(INDIRECT("disc_"&amp;$E81),G81:N81)=0))&gt;0,"Izabrana disciplina nije moguća za uzrast "&amp;$E81,IF(AND(COUNTIF(G81:N81,"Fudokan sport kumite")&gt;0,O81=""),"Nedostaje telesna težina za Fudokan sport kumite",IF(AND(COUNTIF(G81:N81,"Fudokan sport kumite")=0,O81&lt;&gt;""),"Telesna težina se unosi isključivo uz Fudokan sport kumite",IF(AND(P81&lt;&gt;"",NOT(IFERROR(AND(UPPER(LEFT(P81,4))="FSS-",MID(P81,LEN(P81)-2,1)="/",ISNUMBER(VALUE(RIGHT(P81,2))),VALUE(MID(P81,5,LEN(P81)-7))&gt;=1,VALUE(MID(P81,5,LEN(P81)-7))=INT(VALUE(MID(P81,5,LEN(P81)-7)))),FALSE))),"FSS ID se upisuje u obliku FSS-12/26","prijava je kompletna"))))))))))))</f>
        <v/>
      </c>
      <c r="R81">
        <f>IF($E81="","sve_discipline","disc_"&amp;$E81)</f>
        <v/>
      </c>
      <c r="S81">
        <f>IF(OR($E81="",$C81=""),"sve_kilaze","kg_"&amp;$E81&amp;"_"&amp;IF($C81="ženski","Z","M"))</f>
        <v/>
      </c>
    </row>
    <row r="82" spans="1:19">
      <c r="A82" s="5"/>
      <c r="B82" s="5"/>
      <c r="C82" s="5"/>
      <c r="D82" s="5"/>
      <c r="E82" s="7">
        <f>IF($A82="","",LOOKUP($A82,INDEX(grupe,0,1),INDEX(grupe,0,2)))</f>
        <v/>
      </c>
      <c r="F82" s="7">
        <f>IF($E82="","",VLOOKUP($E82,INDEX(grupe,0,2):INDEX(grupe,0,3),2,FALSE))</f>
        <v/>
      </c>
      <c r="G82" s="5"/>
      <c r="H82" s="5"/>
      <c r="I82" s="5"/>
      <c r="J82" s="5"/>
      <c r="K82" s="5"/>
      <c r="L82" s="5"/>
      <c r="M82" s="5"/>
      <c r="N82" s="5"/>
      <c r="O82" s="5"/>
      <c r="P82" s="5"/>
      <c r="Q82" s="8">
        <f>IF(COUNTA($A82:$D82,G82:N82,P82)=0,"",IF($A82="","Nedostaje godište",IF($E82="","Godište nije obuhvaćeno uzrasnom tabelom",IF($B82="","Nedostaje ime i prezime",IF(NOT(SUMPRODUCT(--ISERROR(FIND(MID($B82&amp;REPT("a",60),ROW($A$1:$A$60),1),"ABCDEFGHIJKLMNOPQRSTUVWXYZabcdefghijklmnopqrstuvwxyzČĆĐŠŽčćđšž -'")))=0),"Ime sadrži znakove koji nisu slova",IF($C82="","Nedostaje pol",IF($D82="","Nedostaje pojas",IF(COUNTA(G82:N82)=0,"Nije izabrana nijedna disciplina",IF(SUMPRODUCT(--(G82:N82&lt;&gt;""),--(COUNTIF(INDIRECT("disc_"&amp;$E82),G82:N82)=0))&gt;0,"Izabrana disciplina nije moguća za uzrast "&amp;$E82,IF(AND(COUNTIF(G82:N82,"Fudokan sport kumite")&gt;0,O82=""),"Nedostaje telesna težina za Fudokan sport kumite",IF(AND(COUNTIF(G82:N82,"Fudokan sport kumite")=0,O82&lt;&gt;""),"Telesna težina se unosi isključivo uz Fudokan sport kumite",IF(AND(P82&lt;&gt;"",NOT(IFERROR(AND(UPPER(LEFT(P82,4))="FSS-",MID(P82,LEN(P82)-2,1)="/",ISNUMBER(VALUE(RIGHT(P82,2))),VALUE(MID(P82,5,LEN(P82)-7))&gt;=1,VALUE(MID(P82,5,LEN(P82)-7))=INT(VALUE(MID(P82,5,LEN(P82)-7)))),FALSE))),"FSS ID se upisuje u obliku FSS-12/26","prijava je kompletna"))))))))))))</f>
        <v/>
      </c>
      <c r="R82">
        <f>IF($E82="","sve_discipline","disc_"&amp;$E82)</f>
        <v/>
      </c>
      <c r="S82">
        <f>IF(OR($E82="",$C82=""),"sve_kilaze","kg_"&amp;$E82&amp;"_"&amp;IF($C82="ženski","Z","M"))</f>
        <v/>
      </c>
    </row>
    <row r="83" spans="1:19">
      <c r="A83" s="5"/>
      <c r="B83" s="5"/>
      <c r="C83" s="5"/>
      <c r="D83" s="5"/>
      <c r="E83" s="7">
        <f>IF($A83="","",LOOKUP($A83,INDEX(grupe,0,1),INDEX(grupe,0,2)))</f>
        <v/>
      </c>
      <c r="F83" s="7">
        <f>IF($E83="","",VLOOKUP($E83,INDEX(grupe,0,2):INDEX(grupe,0,3),2,FALSE))</f>
        <v/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8">
        <f>IF(COUNTA($A83:$D83,G83:N83,P83)=0,"",IF($A83="","Nedostaje godište",IF($E83="","Godište nije obuhvaćeno uzrasnom tabelom",IF($B83="","Nedostaje ime i prezime",IF(NOT(SUMPRODUCT(--ISERROR(FIND(MID($B83&amp;REPT("a",60),ROW($A$1:$A$60),1),"ABCDEFGHIJKLMNOPQRSTUVWXYZabcdefghijklmnopqrstuvwxyzČĆĐŠŽčćđšž -'")))=0),"Ime sadrži znakove koji nisu slova",IF($C83="","Nedostaje pol",IF($D83="","Nedostaje pojas",IF(COUNTA(G83:N83)=0,"Nije izabrana nijedna disciplina",IF(SUMPRODUCT(--(G83:N83&lt;&gt;""),--(COUNTIF(INDIRECT("disc_"&amp;$E83),G83:N83)=0))&gt;0,"Izabrana disciplina nije moguća za uzrast "&amp;$E83,IF(AND(COUNTIF(G83:N83,"Fudokan sport kumite")&gt;0,O83=""),"Nedostaje telesna težina za Fudokan sport kumite",IF(AND(COUNTIF(G83:N83,"Fudokan sport kumite")=0,O83&lt;&gt;""),"Telesna težina se unosi isključivo uz Fudokan sport kumite",IF(AND(P83&lt;&gt;"",NOT(IFERROR(AND(UPPER(LEFT(P83,4))="FSS-",MID(P83,LEN(P83)-2,1)="/",ISNUMBER(VALUE(RIGHT(P83,2))),VALUE(MID(P83,5,LEN(P83)-7))&gt;=1,VALUE(MID(P83,5,LEN(P83)-7))=INT(VALUE(MID(P83,5,LEN(P83)-7)))),FALSE))),"FSS ID se upisuje u obliku FSS-12/26","prijava je kompletna"))))))))))))</f>
        <v/>
      </c>
      <c r="R83">
        <f>IF($E83="","sve_discipline","disc_"&amp;$E83)</f>
        <v/>
      </c>
      <c r="S83">
        <f>IF(OR($E83="",$C83=""),"sve_kilaze","kg_"&amp;$E83&amp;"_"&amp;IF($C83="ženski","Z","M"))</f>
        <v/>
      </c>
    </row>
    <row r="84" spans="1:19">
      <c r="A84" s="5"/>
      <c r="B84" s="5"/>
      <c r="C84" s="5"/>
      <c r="D84" s="5"/>
      <c r="E84" s="7">
        <f>IF($A84="","",LOOKUP($A84,INDEX(grupe,0,1),INDEX(grupe,0,2)))</f>
        <v/>
      </c>
      <c r="F84" s="7">
        <f>IF($E84="","",VLOOKUP($E84,INDEX(grupe,0,2):INDEX(grupe,0,3),2,FALSE))</f>
        <v/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8">
        <f>IF(COUNTA($A84:$D84,G84:N84,P84)=0,"",IF($A84="","Nedostaje godište",IF($E84="","Godište nije obuhvaćeno uzrasnom tabelom",IF($B84="","Nedostaje ime i prezime",IF(NOT(SUMPRODUCT(--ISERROR(FIND(MID($B84&amp;REPT("a",60),ROW($A$1:$A$60),1),"ABCDEFGHIJKLMNOPQRSTUVWXYZabcdefghijklmnopqrstuvwxyzČĆĐŠŽčćđšž -'")))=0),"Ime sadrži znakove koji nisu slova",IF($C84="","Nedostaje pol",IF($D84="","Nedostaje pojas",IF(COUNTA(G84:N84)=0,"Nije izabrana nijedna disciplina",IF(SUMPRODUCT(--(G84:N84&lt;&gt;""),--(COUNTIF(INDIRECT("disc_"&amp;$E84),G84:N84)=0))&gt;0,"Izabrana disciplina nije moguća za uzrast "&amp;$E84,IF(AND(COUNTIF(G84:N84,"Fudokan sport kumite")&gt;0,O84=""),"Nedostaje telesna težina za Fudokan sport kumite",IF(AND(COUNTIF(G84:N84,"Fudokan sport kumite")=0,O84&lt;&gt;""),"Telesna težina se unosi isključivo uz Fudokan sport kumite",IF(AND(P84&lt;&gt;"",NOT(IFERROR(AND(UPPER(LEFT(P84,4))="FSS-",MID(P84,LEN(P84)-2,1)="/",ISNUMBER(VALUE(RIGHT(P84,2))),VALUE(MID(P84,5,LEN(P84)-7))&gt;=1,VALUE(MID(P84,5,LEN(P84)-7))=INT(VALUE(MID(P84,5,LEN(P84)-7)))),FALSE))),"FSS ID se upisuje u obliku FSS-12/26","prijava je kompletna"))))))))))))</f>
        <v/>
      </c>
      <c r="R84">
        <f>IF($E84="","sve_discipline","disc_"&amp;$E84)</f>
        <v/>
      </c>
      <c r="S84">
        <f>IF(OR($E84="",$C84=""),"sve_kilaze","kg_"&amp;$E84&amp;"_"&amp;IF($C84="ženski","Z","M"))</f>
        <v/>
      </c>
    </row>
    <row r="85" spans="1:19">
      <c r="A85" s="5"/>
      <c r="B85" s="5"/>
      <c r="C85" s="5"/>
      <c r="D85" s="5"/>
      <c r="E85" s="7">
        <f>IF($A85="","",LOOKUP($A85,INDEX(grupe,0,1),INDEX(grupe,0,2)))</f>
        <v/>
      </c>
      <c r="F85" s="7">
        <f>IF($E85="","",VLOOKUP($E85,INDEX(grupe,0,2):INDEX(grupe,0,3),2,FALSE))</f>
        <v/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8">
        <f>IF(COUNTA($A85:$D85,G85:N85,P85)=0,"",IF($A85="","Nedostaje godište",IF($E85="","Godište nije obuhvaćeno uzrasnom tabelom",IF($B85="","Nedostaje ime i prezime",IF(NOT(SUMPRODUCT(--ISERROR(FIND(MID($B85&amp;REPT("a",60),ROW($A$1:$A$60),1),"ABCDEFGHIJKLMNOPQRSTUVWXYZabcdefghijklmnopqrstuvwxyzČĆĐŠŽčćđšž -'")))=0),"Ime sadrži znakove koji nisu slova",IF($C85="","Nedostaje pol",IF($D85="","Nedostaje pojas",IF(COUNTA(G85:N85)=0,"Nije izabrana nijedna disciplina",IF(SUMPRODUCT(--(G85:N85&lt;&gt;""),--(COUNTIF(INDIRECT("disc_"&amp;$E85),G85:N85)=0))&gt;0,"Izabrana disciplina nije moguća za uzrast "&amp;$E85,IF(AND(COUNTIF(G85:N85,"Fudokan sport kumite")&gt;0,O85=""),"Nedostaje telesna težina za Fudokan sport kumite",IF(AND(COUNTIF(G85:N85,"Fudokan sport kumite")=0,O85&lt;&gt;""),"Telesna težina se unosi isključivo uz Fudokan sport kumite",IF(AND(P85&lt;&gt;"",NOT(IFERROR(AND(UPPER(LEFT(P85,4))="FSS-",MID(P85,LEN(P85)-2,1)="/",ISNUMBER(VALUE(RIGHT(P85,2))),VALUE(MID(P85,5,LEN(P85)-7))&gt;=1,VALUE(MID(P85,5,LEN(P85)-7))=INT(VALUE(MID(P85,5,LEN(P85)-7)))),FALSE))),"FSS ID se upisuje u obliku FSS-12/26","prijava je kompletna"))))))))))))</f>
        <v/>
      </c>
      <c r="R85">
        <f>IF($E85="","sve_discipline","disc_"&amp;$E85)</f>
        <v/>
      </c>
      <c r="S85">
        <f>IF(OR($E85="",$C85=""),"sve_kilaze","kg_"&amp;$E85&amp;"_"&amp;IF($C85="ženski","Z","M"))</f>
        <v/>
      </c>
    </row>
    <row r="86" spans="1:19">
      <c r="A86" s="5"/>
      <c r="B86" s="5"/>
      <c r="C86" s="5"/>
      <c r="D86" s="5"/>
      <c r="E86" s="7">
        <f>IF($A86="","",LOOKUP($A86,INDEX(grupe,0,1),INDEX(grupe,0,2)))</f>
        <v/>
      </c>
      <c r="F86" s="7">
        <f>IF($E86="","",VLOOKUP($E86,INDEX(grupe,0,2):INDEX(grupe,0,3),2,FALSE))</f>
        <v/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8">
        <f>IF(COUNTA($A86:$D86,G86:N86,P86)=0,"",IF($A86="","Nedostaje godište",IF($E86="","Godište nije obuhvaćeno uzrasnom tabelom",IF($B86="","Nedostaje ime i prezime",IF(NOT(SUMPRODUCT(--ISERROR(FIND(MID($B86&amp;REPT("a",60),ROW($A$1:$A$60),1),"ABCDEFGHIJKLMNOPQRSTUVWXYZabcdefghijklmnopqrstuvwxyzČĆĐŠŽčćđšž -'")))=0),"Ime sadrži znakove koji nisu slova",IF($C86="","Nedostaje pol",IF($D86="","Nedostaje pojas",IF(COUNTA(G86:N86)=0,"Nije izabrana nijedna disciplina",IF(SUMPRODUCT(--(G86:N86&lt;&gt;""),--(COUNTIF(INDIRECT("disc_"&amp;$E86),G86:N86)=0))&gt;0,"Izabrana disciplina nije moguća za uzrast "&amp;$E86,IF(AND(COUNTIF(G86:N86,"Fudokan sport kumite")&gt;0,O86=""),"Nedostaje telesna težina za Fudokan sport kumite",IF(AND(COUNTIF(G86:N86,"Fudokan sport kumite")=0,O86&lt;&gt;""),"Telesna težina se unosi isključivo uz Fudokan sport kumite",IF(AND(P86&lt;&gt;"",NOT(IFERROR(AND(UPPER(LEFT(P86,4))="FSS-",MID(P86,LEN(P86)-2,1)="/",ISNUMBER(VALUE(RIGHT(P86,2))),VALUE(MID(P86,5,LEN(P86)-7))&gt;=1,VALUE(MID(P86,5,LEN(P86)-7))=INT(VALUE(MID(P86,5,LEN(P86)-7)))),FALSE))),"FSS ID se upisuje u obliku FSS-12/26","prijava je kompletna"))))))))))))</f>
        <v/>
      </c>
      <c r="R86">
        <f>IF($E86="","sve_discipline","disc_"&amp;$E86)</f>
        <v/>
      </c>
      <c r="S86">
        <f>IF(OR($E86="",$C86=""),"sve_kilaze","kg_"&amp;$E86&amp;"_"&amp;IF($C86="ženski","Z","M"))</f>
        <v/>
      </c>
    </row>
    <row r="87" spans="1:19">
      <c r="A87" s="5"/>
      <c r="B87" s="5"/>
      <c r="C87" s="5"/>
      <c r="D87" s="5"/>
      <c r="E87" s="7">
        <f>IF($A87="","",LOOKUP($A87,INDEX(grupe,0,1),INDEX(grupe,0,2)))</f>
        <v/>
      </c>
      <c r="F87" s="7">
        <f>IF($E87="","",VLOOKUP($E87,INDEX(grupe,0,2):INDEX(grupe,0,3),2,FALSE))</f>
        <v/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8">
        <f>IF(COUNTA($A87:$D87,G87:N87,P87)=0,"",IF($A87="","Nedostaje godište",IF($E87="","Godište nije obuhvaćeno uzrasnom tabelom",IF($B87="","Nedostaje ime i prezime",IF(NOT(SUMPRODUCT(--ISERROR(FIND(MID($B87&amp;REPT("a",60),ROW($A$1:$A$60),1),"ABCDEFGHIJKLMNOPQRSTUVWXYZabcdefghijklmnopqrstuvwxyzČĆĐŠŽčćđšž -'")))=0),"Ime sadrži znakove koji nisu slova",IF($C87="","Nedostaje pol",IF($D87="","Nedostaje pojas",IF(COUNTA(G87:N87)=0,"Nije izabrana nijedna disciplina",IF(SUMPRODUCT(--(G87:N87&lt;&gt;""),--(COUNTIF(INDIRECT("disc_"&amp;$E87),G87:N87)=0))&gt;0,"Izabrana disciplina nije moguća za uzrast "&amp;$E87,IF(AND(COUNTIF(G87:N87,"Fudokan sport kumite")&gt;0,O87=""),"Nedostaje telesna težina za Fudokan sport kumite",IF(AND(COUNTIF(G87:N87,"Fudokan sport kumite")=0,O87&lt;&gt;""),"Telesna težina se unosi isključivo uz Fudokan sport kumite",IF(AND(P87&lt;&gt;"",NOT(IFERROR(AND(UPPER(LEFT(P87,4))="FSS-",MID(P87,LEN(P87)-2,1)="/",ISNUMBER(VALUE(RIGHT(P87,2))),VALUE(MID(P87,5,LEN(P87)-7))&gt;=1,VALUE(MID(P87,5,LEN(P87)-7))=INT(VALUE(MID(P87,5,LEN(P87)-7)))),FALSE))),"FSS ID se upisuje u obliku FSS-12/26","prijava je kompletna"))))))))))))</f>
        <v/>
      </c>
      <c r="R87">
        <f>IF($E87="","sve_discipline","disc_"&amp;$E87)</f>
        <v/>
      </c>
      <c r="S87">
        <f>IF(OR($E87="",$C87=""),"sve_kilaze","kg_"&amp;$E87&amp;"_"&amp;IF($C87="ženski","Z","M"))</f>
        <v/>
      </c>
    </row>
    <row r="88" spans="1:19">
      <c r="A88" s="5"/>
      <c r="B88" s="5"/>
      <c r="C88" s="5"/>
      <c r="D88" s="5"/>
      <c r="E88" s="7">
        <f>IF($A88="","",LOOKUP($A88,INDEX(grupe,0,1),INDEX(grupe,0,2)))</f>
        <v/>
      </c>
      <c r="F88" s="7">
        <f>IF($E88="","",VLOOKUP($E88,INDEX(grupe,0,2):INDEX(grupe,0,3),2,FALSE))</f>
        <v/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8">
        <f>IF(COUNTA($A88:$D88,G88:N88,P88)=0,"",IF($A88="","Nedostaje godište",IF($E88="","Godište nije obuhvaćeno uzrasnom tabelom",IF($B88="","Nedostaje ime i prezime",IF(NOT(SUMPRODUCT(--ISERROR(FIND(MID($B88&amp;REPT("a",60),ROW($A$1:$A$60),1),"ABCDEFGHIJKLMNOPQRSTUVWXYZabcdefghijklmnopqrstuvwxyzČĆĐŠŽčćđšž -'")))=0),"Ime sadrži znakove koji nisu slova",IF($C88="","Nedostaje pol",IF($D88="","Nedostaje pojas",IF(COUNTA(G88:N88)=0,"Nije izabrana nijedna disciplina",IF(SUMPRODUCT(--(G88:N88&lt;&gt;""),--(COUNTIF(INDIRECT("disc_"&amp;$E88),G88:N88)=0))&gt;0,"Izabrana disciplina nije moguća za uzrast "&amp;$E88,IF(AND(COUNTIF(G88:N88,"Fudokan sport kumite")&gt;0,O88=""),"Nedostaje telesna težina za Fudokan sport kumite",IF(AND(COUNTIF(G88:N88,"Fudokan sport kumite")=0,O88&lt;&gt;""),"Telesna težina se unosi isključivo uz Fudokan sport kumite",IF(AND(P88&lt;&gt;"",NOT(IFERROR(AND(UPPER(LEFT(P88,4))="FSS-",MID(P88,LEN(P88)-2,1)="/",ISNUMBER(VALUE(RIGHT(P88,2))),VALUE(MID(P88,5,LEN(P88)-7))&gt;=1,VALUE(MID(P88,5,LEN(P88)-7))=INT(VALUE(MID(P88,5,LEN(P88)-7)))),FALSE))),"FSS ID se upisuje u obliku FSS-12/26","prijava je kompletna"))))))))))))</f>
        <v/>
      </c>
      <c r="R88">
        <f>IF($E88="","sve_discipline","disc_"&amp;$E88)</f>
        <v/>
      </c>
      <c r="S88">
        <f>IF(OR($E88="",$C88=""),"sve_kilaze","kg_"&amp;$E88&amp;"_"&amp;IF($C88="ženski","Z","M"))</f>
        <v/>
      </c>
    </row>
    <row r="89" spans="1:19">
      <c r="A89" s="5"/>
      <c r="B89" s="5"/>
      <c r="C89" s="5"/>
      <c r="D89" s="5"/>
      <c r="E89" s="7">
        <f>IF($A89="","",LOOKUP($A89,INDEX(grupe,0,1),INDEX(grupe,0,2)))</f>
        <v/>
      </c>
      <c r="F89" s="7">
        <f>IF($E89="","",VLOOKUP($E89,INDEX(grupe,0,2):INDEX(grupe,0,3),2,FALSE))</f>
        <v/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8">
        <f>IF(COUNTA($A89:$D89,G89:N89,P89)=0,"",IF($A89="","Nedostaje godište",IF($E89="","Godište nije obuhvaćeno uzrasnom tabelom",IF($B89="","Nedostaje ime i prezime",IF(NOT(SUMPRODUCT(--ISERROR(FIND(MID($B89&amp;REPT("a",60),ROW($A$1:$A$60),1),"ABCDEFGHIJKLMNOPQRSTUVWXYZabcdefghijklmnopqrstuvwxyzČĆĐŠŽčćđšž -'")))=0),"Ime sadrži znakove koji nisu slova",IF($C89="","Nedostaje pol",IF($D89="","Nedostaje pojas",IF(COUNTA(G89:N89)=0,"Nije izabrana nijedna disciplina",IF(SUMPRODUCT(--(G89:N89&lt;&gt;""),--(COUNTIF(INDIRECT("disc_"&amp;$E89),G89:N89)=0))&gt;0,"Izabrana disciplina nije moguća za uzrast "&amp;$E89,IF(AND(COUNTIF(G89:N89,"Fudokan sport kumite")&gt;0,O89=""),"Nedostaje telesna težina za Fudokan sport kumite",IF(AND(COUNTIF(G89:N89,"Fudokan sport kumite")=0,O89&lt;&gt;""),"Telesna težina se unosi isključivo uz Fudokan sport kumite",IF(AND(P89&lt;&gt;"",NOT(IFERROR(AND(UPPER(LEFT(P89,4))="FSS-",MID(P89,LEN(P89)-2,1)="/",ISNUMBER(VALUE(RIGHT(P89,2))),VALUE(MID(P89,5,LEN(P89)-7))&gt;=1,VALUE(MID(P89,5,LEN(P89)-7))=INT(VALUE(MID(P89,5,LEN(P89)-7)))),FALSE))),"FSS ID se upisuje u obliku FSS-12/26","prijava je kompletna"))))))))))))</f>
        <v/>
      </c>
      <c r="R89">
        <f>IF($E89="","sve_discipline","disc_"&amp;$E89)</f>
        <v/>
      </c>
      <c r="S89">
        <f>IF(OR($E89="",$C89=""),"sve_kilaze","kg_"&amp;$E89&amp;"_"&amp;IF($C89="ženski","Z","M"))</f>
        <v/>
      </c>
    </row>
    <row r="90" spans="1:19">
      <c r="A90" s="5"/>
      <c r="B90" s="5"/>
      <c r="C90" s="5"/>
      <c r="D90" s="5"/>
      <c r="E90" s="7">
        <f>IF($A90="","",LOOKUP($A90,INDEX(grupe,0,1),INDEX(grupe,0,2)))</f>
        <v/>
      </c>
      <c r="F90" s="7">
        <f>IF($E90="","",VLOOKUP($E90,INDEX(grupe,0,2):INDEX(grupe,0,3),2,FALSE))</f>
        <v/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8">
        <f>IF(COUNTA($A90:$D90,G90:N90,P90)=0,"",IF($A90="","Nedostaje godište",IF($E90="","Godište nije obuhvaćeno uzrasnom tabelom",IF($B90="","Nedostaje ime i prezime",IF(NOT(SUMPRODUCT(--ISERROR(FIND(MID($B90&amp;REPT("a",60),ROW($A$1:$A$60),1),"ABCDEFGHIJKLMNOPQRSTUVWXYZabcdefghijklmnopqrstuvwxyzČĆĐŠŽčćđšž -'")))=0),"Ime sadrži znakove koji nisu slova",IF($C90="","Nedostaje pol",IF($D90="","Nedostaje pojas",IF(COUNTA(G90:N90)=0,"Nije izabrana nijedna disciplina",IF(SUMPRODUCT(--(G90:N90&lt;&gt;""),--(COUNTIF(INDIRECT("disc_"&amp;$E90),G90:N90)=0))&gt;0,"Izabrana disciplina nije moguća za uzrast "&amp;$E90,IF(AND(COUNTIF(G90:N90,"Fudokan sport kumite")&gt;0,O90=""),"Nedostaje telesna težina za Fudokan sport kumite",IF(AND(COUNTIF(G90:N90,"Fudokan sport kumite")=0,O90&lt;&gt;""),"Telesna težina se unosi isključivo uz Fudokan sport kumite",IF(AND(P90&lt;&gt;"",NOT(IFERROR(AND(UPPER(LEFT(P90,4))="FSS-",MID(P90,LEN(P90)-2,1)="/",ISNUMBER(VALUE(RIGHT(P90,2))),VALUE(MID(P90,5,LEN(P90)-7))&gt;=1,VALUE(MID(P90,5,LEN(P90)-7))=INT(VALUE(MID(P90,5,LEN(P90)-7)))),FALSE))),"FSS ID se upisuje u obliku FSS-12/26","prijava je kompletna"))))))))))))</f>
        <v/>
      </c>
      <c r="R90">
        <f>IF($E90="","sve_discipline","disc_"&amp;$E90)</f>
        <v/>
      </c>
      <c r="S90">
        <f>IF(OR($E90="",$C90=""),"sve_kilaze","kg_"&amp;$E90&amp;"_"&amp;IF($C90="ženski","Z","M"))</f>
        <v/>
      </c>
    </row>
    <row r="91" spans="1:19">
      <c r="A91" s="5"/>
      <c r="B91" s="5"/>
      <c r="C91" s="5"/>
      <c r="D91" s="5"/>
      <c r="E91" s="7">
        <f>IF($A91="","",LOOKUP($A91,INDEX(grupe,0,1),INDEX(grupe,0,2)))</f>
        <v/>
      </c>
      <c r="F91" s="7">
        <f>IF($E91="","",VLOOKUP($E91,INDEX(grupe,0,2):INDEX(grupe,0,3),2,FALSE))</f>
        <v/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8">
        <f>IF(COUNTA($A91:$D91,G91:N91,P91)=0,"",IF($A91="","Nedostaje godište",IF($E91="","Godište nije obuhvaćeno uzrasnom tabelom",IF($B91="","Nedostaje ime i prezime",IF(NOT(SUMPRODUCT(--ISERROR(FIND(MID($B91&amp;REPT("a",60),ROW($A$1:$A$60),1),"ABCDEFGHIJKLMNOPQRSTUVWXYZabcdefghijklmnopqrstuvwxyzČĆĐŠŽčćđšž -'")))=0),"Ime sadrži znakove koji nisu slova",IF($C91="","Nedostaje pol",IF($D91="","Nedostaje pojas",IF(COUNTA(G91:N91)=0,"Nije izabrana nijedna disciplina",IF(SUMPRODUCT(--(G91:N91&lt;&gt;""),--(COUNTIF(INDIRECT("disc_"&amp;$E91),G91:N91)=0))&gt;0,"Izabrana disciplina nije moguća za uzrast "&amp;$E91,IF(AND(COUNTIF(G91:N91,"Fudokan sport kumite")&gt;0,O91=""),"Nedostaje telesna težina za Fudokan sport kumite",IF(AND(COUNTIF(G91:N91,"Fudokan sport kumite")=0,O91&lt;&gt;""),"Telesna težina se unosi isključivo uz Fudokan sport kumite",IF(AND(P91&lt;&gt;"",NOT(IFERROR(AND(UPPER(LEFT(P91,4))="FSS-",MID(P91,LEN(P91)-2,1)="/",ISNUMBER(VALUE(RIGHT(P91,2))),VALUE(MID(P91,5,LEN(P91)-7))&gt;=1,VALUE(MID(P91,5,LEN(P91)-7))=INT(VALUE(MID(P91,5,LEN(P91)-7)))),FALSE))),"FSS ID se upisuje u obliku FSS-12/26","prijava je kompletna"))))))))))))</f>
        <v/>
      </c>
      <c r="R91">
        <f>IF($E91="","sve_discipline","disc_"&amp;$E91)</f>
        <v/>
      </c>
      <c r="S91">
        <f>IF(OR($E91="",$C91=""),"sve_kilaze","kg_"&amp;$E91&amp;"_"&amp;IF($C91="ženski","Z","M"))</f>
        <v/>
      </c>
    </row>
    <row r="92" spans="1:19">
      <c r="A92" s="5"/>
      <c r="B92" s="5"/>
      <c r="C92" s="5"/>
      <c r="D92" s="5"/>
      <c r="E92" s="7">
        <f>IF($A92="","",LOOKUP($A92,INDEX(grupe,0,1),INDEX(grupe,0,2)))</f>
        <v/>
      </c>
      <c r="F92" s="7">
        <f>IF($E92="","",VLOOKUP($E92,INDEX(grupe,0,2):INDEX(grupe,0,3),2,FALSE))</f>
        <v/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8">
        <f>IF(COUNTA($A92:$D92,G92:N92,P92)=0,"",IF($A92="","Nedostaje godište",IF($E92="","Godište nije obuhvaćeno uzrasnom tabelom",IF($B92="","Nedostaje ime i prezime",IF(NOT(SUMPRODUCT(--ISERROR(FIND(MID($B92&amp;REPT("a",60),ROW($A$1:$A$60),1),"ABCDEFGHIJKLMNOPQRSTUVWXYZabcdefghijklmnopqrstuvwxyzČĆĐŠŽčćđšž -'")))=0),"Ime sadrži znakove koji nisu slova",IF($C92="","Nedostaje pol",IF($D92="","Nedostaje pojas",IF(COUNTA(G92:N92)=0,"Nije izabrana nijedna disciplina",IF(SUMPRODUCT(--(G92:N92&lt;&gt;""),--(COUNTIF(INDIRECT("disc_"&amp;$E92),G92:N92)=0))&gt;0,"Izabrana disciplina nije moguća za uzrast "&amp;$E92,IF(AND(COUNTIF(G92:N92,"Fudokan sport kumite")&gt;0,O92=""),"Nedostaje telesna težina za Fudokan sport kumite",IF(AND(COUNTIF(G92:N92,"Fudokan sport kumite")=0,O92&lt;&gt;""),"Telesna težina se unosi isključivo uz Fudokan sport kumite",IF(AND(P92&lt;&gt;"",NOT(IFERROR(AND(UPPER(LEFT(P92,4))="FSS-",MID(P92,LEN(P92)-2,1)="/",ISNUMBER(VALUE(RIGHT(P92,2))),VALUE(MID(P92,5,LEN(P92)-7))&gt;=1,VALUE(MID(P92,5,LEN(P92)-7))=INT(VALUE(MID(P92,5,LEN(P92)-7)))),FALSE))),"FSS ID se upisuje u obliku FSS-12/26","prijava je kompletna"))))))))))))</f>
        <v/>
      </c>
      <c r="R92">
        <f>IF($E92="","sve_discipline","disc_"&amp;$E92)</f>
        <v/>
      </c>
      <c r="S92">
        <f>IF(OR($E92="",$C92=""),"sve_kilaze","kg_"&amp;$E92&amp;"_"&amp;IF($C92="ženski","Z","M"))</f>
        <v/>
      </c>
    </row>
    <row r="93" spans="1:19">
      <c r="A93" s="5"/>
      <c r="B93" s="5"/>
      <c r="C93" s="5"/>
      <c r="D93" s="5"/>
      <c r="E93" s="7">
        <f>IF($A93="","",LOOKUP($A93,INDEX(grupe,0,1),INDEX(grupe,0,2)))</f>
        <v/>
      </c>
      <c r="F93" s="7">
        <f>IF($E93="","",VLOOKUP($E93,INDEX(grupe,0,2):INDEX(grupe,0,3),2,FALSE))</f>
        <v/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8">
        <f>IF(COUNTA($A93:$D93,G93:N93,P93)=0,"",IF($A93="","Nedostaje godište",IF($E93="","Godište nije obuhvaćeno uzrasnom tabelom",IF($B93="","Nedostaje ime i prezime",IF(NOT(SUMPRODUCT(--ISERROR(FIND(MID($B93&amp;REPT("a",60),ROW($A$1:$A$60),1),"ABCDEFGHIJKLMNOPQRSTUVWXYZabcdefghijklmnopqrstuvwxyzČĆĐŠŽčćđšž -'")))=0),"Ime sadrži znakove koji nisu slova",IF($C93="","Nedostaje pol",IF($D93="","Nedostaje pojas",IF(COUNTA(G93:N93)=0,"Nije izabrana nijedna disciplina",IF(SUMPRODUCT(--(G93:N93&lt;&gt;""),--(COUNTIF(INDIRECT("disc_"&amp;$E93),G93:N93)=0))&gt;0,"Izabrana disciplina nije moguća za uzrast "&amp;$E93,IF(AND(COUNTIF(G93:N93,"Fudokan sport kumite")&gt;0,O93=""),"Nedostaje telesna težina za Fudokan sport kumite",IF(AND(COUNTIF(G93:N93,"Fudokan sport kumite")=0,O93&lt;&gt;""),"Telesna težina se unosi isključivo uz Fudokan sport kumite",IF(AND(P93&lt;&gt;"",NOT(IFERROR(AND(UPPER(LEFT(P93,4))="FSS-",MID(P93,LEN(P93)-2,1)="/",ISNUMBER(VALUE(RIGHT(P93,2))),VALUE(MID(P93,5,LEN(P93)-7))&gt;=1,VALUE(MID(P93,5,LEN(P93)-7))=INT(VALUE(MID(P93,5,LEN(P93)-7)))),FALSE))),"FSS ID se upisuje u obliku FSS-12/26","prijava je kompletna"))))))))))))</f>
        <v/>
      </c>
      <c r="R93">
        <f>IF($E93="","sve_discipline","disc_"&amp;$E93)</f>
        <v/>
      </c>
      <c r="S93">
        <f>IF(OR($E93="",$C93=""),"sve_kilaze","kg_"&amp;$E93&amp;"_"&amp;IF($C93="ženski","Z","M"))</f>
        <v/>
      </c>
    </row>
    <row r="94" spans="1:19">
      <c r="A94" s="5"/>
      <c r="B94" s="5"/>
      <c r="C94" s="5"/>
      <c r="D94" s="5"/>
      <c r="E94" s="7">
        <f>IF($A94="","",LOOKUP($A94,INDEX(grupe,0,1),INDEX(grupe,0,2)))</f>
        <v/>
      </c>
      <c r="F94" s="7">
        <f>IF($E94="","",VLOOKUP($E94,INDEX(grupe,0,2):INDEX(grupe,0,3),2,FALSE))</f>
        <v/>
      </c>
      <c r="G94" s="5"/>
      <c r="H94" s="5"/>
      <c r="I94" s="5"/>
      <c r="J94" s="5"/>
      <c r="K94" s="5"/>
      <c r="L94" s="5"/>
      <c r="M94" s="5"/>
      <c r="N94" s="5"/>
      <c r="O94" s="5"/>
      <c r="P94" s="5"/>
      <c r="Q94" s="8">
        <f>IF(COUNTA($A94:$D94,G94:N94,P94)=0,"",IF($A94="","Nedostaje godište",IF($E94="","Godište nije obuhvaćeno uzrasnom tabelom",IF($B94="","Nedostaje ime i prezime",IF(NOT(SUMPRODUCT(--ISERROR(FIND(MID($B94&amp;REPT("a",60),ROW($A$1:$A$60),1),"ABCDEFGHIJKLMNOPQRSTUVWXYZabcdefghijklmnopqrstuvwxyzČĆĐŠŽčćđšž -'")))=0),"Ime sadrži znakove koji nisu slova",IF($C94="","Nedostaje pol",IF($D94="","Nedostaje pojas",IF(COUNTA(G94:N94)=0,"Nije izabrana nijedna disciplina",IF(SUMPRODUCT(--(G94:N94&lt;&gt;""),--(COUNTIF(INDIRECT("disc_"&amp;$E94),G94:N94)=0))&gt;0,"Izabrana disciplina nije moguća za uzrast "&amp;$E94,IF(AND(COUNTIF(G94:N94,"Fudokan sport kumite")&gt;0,O94=""),"Nedostaje telesna težina za Fudokan sport kumite",IF(AND(COUNTIF(G94:N94,"Fudokan sport kumite")=0,O94&lt;&gt;""),"Telesna težina se unosi isključivo uz Fudokan sport kumite",IF(AND(P94&lt;&gt;"",NOT(IFERROR(AND(UPPER(LEFT(P94,4))="FSS-",MID(P94,LEN(P94)-2,1)="/",ISNUMBER(VALUE(RIGHT(P94,2))),VALUE(MID(P94,5,LEN(P94)-7))&gt;=1,VALUE(MID(P94,5,LEN(P94)-7))=INT(VALUE(MID(P94,5,LEN(P94)-7)))),FALSE))),"FSS ID se upisuje u obliku FSS-12/26","prijava je kompletna"))))))))))))</f>
        <v/>
      </c>
      <c r="R94">
        <f>IF($E94="","sve_discipline","disc_"&amp;$E94)</f>
        <v/>
      </c>
      <c r="S94">
        <f>IF(OR($E94="",$C94=""),"sve_kilaze","kg_"&amp;$E94&amp;"_"&amp;IF($C94="ženski","Z","M"))</f>
        <v/>
      </c>
    </row>
    <row r="95" spans="1:19">
      <c r="A95" s="5"/>
      <c r="B95" s="5"/>
      <c r="C95" s="5"/>
      <c r="D95" s="5"/>
      <c r="E95" s="7">
        <f>IF($A95="","",LOOKUP($A95,INDEX(grupe,0,1),INDEX(grupe,0,2)))</f>
        <v/>
      </c>
      <c r="F95" s="7">
        <f>IF($E95="","",VLOOKUP($E95,INDEX(grupe,0,2):INDEX(grupe,0,3),2,FALSE))</f>
        <v/>
      </c>
      <c r="G95" s="5"/>
      <c r="H95" s="5"/>
      <c r="I95" s="5"/>
      <c r="J95" s="5"/>
      <c r="K95" s="5"/>
      <c r="L95" s="5"/>
      <c r="M95" s="5"/>
      <c r="N95" s="5"/>
      <c r="O95" s="5"/>
      <c r="P95" s="5"/>
      <c r="Q95" s="8">
        <f>IF(COUNTA($A95:$D95,G95:N95,P95)=0,"",IF($A95="","Nedostaje godište",IF($E95="","Godište nije obuhvaćeno uzrasnom tabelom",IF($B95="","Nedostaje ime i prezime",IF(NOT(SUMPRODUCT(--ISERROR(FIND(MID($B95&amp;REPT("a",60),ROW($A$1:$A$60),1),"ABCDEFGHIJKLMNOPQRSTUVWXYZabcdefghijklmnopqrstuvwxyzČĆĐŠŽčćđšž -'")))=0),"Ime sadrži znakove koji nisu slova",IF($C95="","Nedostaje pol",IF($D95="","Nedostaje pojas",IF(COUNTA(G95:N95)=0,"Nije izabrana nijedna disciplina",IF(SUMPRODUCT(--(G95:N95&lt;&gt;""),--(COUNTIF(INDIRECT("disc_"&amp;$E95),G95:N95)=0))&gt;0,"Izabrana disciplina nije moguća za uzrast "&amp;$E95,IF(AND(COUNTIF(G95:N95,"Fudokan sport kumite")&gt;0,O95=""),"Nedostaje telesna težina za Fudokan sport kumite",IF(AND(COUNTIF(G95:N95,"Fudokan sport kumite")=0,O95&lt;&gt;""),"Telesna težina se unosi isključivo uz Fudokan sport kumite",IF(AND(P95&lt;&gt;"",NOT(IFERROR(AND(UPPER(LEFT(P95,4))="FSS-",MID(P95,LEN(P95)-2,1)="/",ISNUMBER(VALUE(RIGHT(P95,2))),VALUE(MID(P95,5,LEN(P95)-7))&gt;=1,VALUE(MID(P95,5,LEN(P95)-7))=INT(VALUE(MID(P95,5,LEN(P95)-7)))),FALSE))),"FSS ID se upisuje u obliku FSS-12/26","prijava je kompletna"))))))))))))</f>
        <v/>
      </c>
      <c r="R95">
        <f>IF($E95="","sve_discipline","disc_"&amp;$E95)</f>
        <v/>
      </c>
      <c r="S95">
        <f>IF(OR($E95="",$C95=""),"sve_kilaze","kg_"&amp;$E95&amp;"_"&amp;IF($C95="ženski","Z","M"))</f>
        <v/>
      </c>
    </row>
    <row r="96" spans="1:19">
      <c r="A96" s="5"/>
      <c r="B96" s="5"/>
      <c r="C96" s="5"/>
      <c r="D96" s="5"/>
      <c r="E96" s="7">
        <f>IF($A96="","",LOOKUP($A96,INDEX(grupe,0,1),INDEX(grupe,0,2)))</f>
        <v/>
      </c>
      <c r="F96" s="7">
        <f>IF($E96="","",VLOOKUP($E96,INDEX(grupe,0,2):INDEX(grupe,0,3),2,FALSE))</f>
        <v/>
      </c>
      <c r="G96" s="5"/>
      <c r="H96" s="5"/>
      <c r="I96" s="5"/>
      <c r="J96" s="5"/>
      <c r="K96" s="5"/>
      <c r="L96" s="5"/>
      <c r="M96" s="5"/>
      <c r="N96" s="5"/>
      <c r="O96" s="5"/>
      <c r="P96" s="5"/>
      <c r="Q96" s="8">
        <f>IF(COUNTA($A96:$D96,G96:N96,P96)=0,"",IF($A96="","Nedostaje godište",IF($E96="","Godište nije obuhvaćeno uzrasnom tabelom",IF($B96="","Nedostaje ime i prezime",IF(NOT(SUMPRODUCT(--ISERROR(FIND(MID($B96&amp;REPT("a",60),ROW($A$1:$A$60),1),"ABCDEFGHIJKLMNOPQRSTUVWXYZabcdefghijklmnopqrstuvwxyzČĆĐŠŽčćđšž -'")))=0),"Ime sadrži znakove koji nisu slova",IF($C96="","Nedostaje pol",IF($D96="","Nedostaje pojas",IF(COUNTA(G96:N96)=0,"Nije izabrana nijedna disciplina",IF(SUMPRODUCT(--(G96:N96&lt;&gt;""),--(COUNTIF(INDIRECT("disc_"&amp;$E96),G96:N96)=0))&gt;0,"Izabrana disciplina nije moguća za uzrast "&amp;$E96,IF(AND(COUNTIF(G96:N96,"Fudokan sport kumite")&gt;0,O96=""),"Nedostaje telesna težina za Fudokan sport kumite",IF(AND(COUNTIF(G96:N96,"Fudokan sport kumite")=0,O96&lt;&gt;""),"Telesna težina se unosi isključivo uz Fudokan sport kumite",IF(AND(P96&lt;&gt;"",NOT(IFERROR(AND(UPPER(LEFT(P96,4))="FSS-",MID(P96,LEN(P96)-2,1)="/",ISNUMBER(VALUE(RIGHT(P96,2))),VALUE(MID(P96,5,LEN(P96)-7))&gt;=1,VALUE(MID(P96,5,LEN(P96)-7))=INT(VALUE(MID(P96,5,LEN(P96)-7)))),FALSE))),"FSS ID se upisuje u obliku FSS-12/26","prijava je kompletna"))))))))))))</f>
        <v/>
      </c>
      <c r="R96">
        <f>IF($E96="","sve_discipline","disc_"&amp;$E96)</f>
        <v/>
      </c>
      <c r="S96">
        <f>IF(OR($E96="",$C96=""),"sve_kilaze","kg_"&amp;$E96&amp;"_"&amp;IF($C96="ženski","Z","M"))</f>
        <v/>
      </c>
    </row>
    <row r="97" spans="1:19">
      <c r="A97" s="5"/>
      <c r="B97" s="5"/>
      <c r="C97" s="5"/>
      <c r="D97" s="5"/>
      <c r="E97" s="7">
        <f>IF($A97="","",LOOKUP($A97,INDEX(grupe,0,1),INDEX(grupe,0,2)))</f>
        <v/>
      </c>
      <c r="F97" s="7">
        <f>IF($E97="","",VLOOKUP($E97,INDEX(grupe,0,2):INDEX(grupe,0,3),2,FALSE))</f>
        <v/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8">
        <f>IF(COUNTA($A97:$D97,G97:N97,P97)=0,"",IF($A97="","Nedostaje godište",IF($E97="","Godište nije obuhvaćeno uzrasnom tabelom",IF($B97="","Nedostaje ime i prezime",IF(NOT(SUMPRODUCT(--ISERROR(FIND(MID($B97&amp;REPT("a",60),ROW($A$1:$A$60),1),"ABCDEFGHIJKLMNOPQRSTUVWXYZabcdefghijklmnopqrstuvwxyzČĆĐŠŽčćđšž -'")))=0),"Ime sadrži znakove koji nisu slova",IF($C97="","Nedostaje pol",IF($D97="","Nedostaje pojas",IF(COUNTA(G97:N97)=0,"Nije izabrana nijedna disciplina",IF(SUMPRODUCT(--(G97:N97&lt;&gt;""),--(COUNTIF(INDIRECT("disc_"&amp;$E97),G97:N97)=0))&gt;0,"Izabrana disciplina nije moguća za uzrast "&amp;$E97,IF(AND(COUNTIF(G97:N97,"Fudokan sport kumite")&gt;0,O97=""),"Nedostaje telesna težina za Fudokan sport kumite",IF(AND(COUNTIF(G97:N97,"Fudokan sport kumite")=0,O97&lt;&gt;""),"Telesna težina se unosi isključivo uz Fudokan sport kumite",IF(AND(P97&lt;&gt;"",NOT(IFERROR(AND(UPPER(LEFT(P97,4))="FSS-",MID(P97,LEN(P97)-2,1)="/",ISNUMBER(VALUE(RIGHT(P97,2))),VALUE(MID(P97,5,LEN(P97)-7))&gt;=1,VALUE(MID(P97,5,LEN(P97)-7))=INT(VALUE(MID(P97,5,LEN(P97)-7)))),FALSE))),"FSS ID se upisuje u obliku FSS-12/26","prijava je kompletna"))))))))))))</f>
        <v/>
      </c>
      <c r="R97">
        <f>IF($E97="","sve_discipline","disc_"&amp;$E97)</f>
        <v/>
      </c>
      <c r="S97">
        <f>IF(OR($E97="",$C97=""),"sve_kilaze","kg_"&amp;$E97&amp;"_"&amp;IF($C97="ženski","Z","M"))</f>
        <v/>
      </c>
    </row>
    <row r="98" spans="1:19">
      <c r="A98" s="5"/>
      <c r="B98" s="5"/>
      <c r="C98" s="5"/>
      <c r="D98" s="5"/>
      <c r="E98" s="7">
        <f>IF($A98="","",LOOKUP($A98,INDEX(grupe,0,1),INDEX(grupe,0,2)))</f>
        <v/>
      </c>
      <c r="F98" s="7">
        <f>IF($E98="","",VLOOKUP($E98,INDEX(grupe,0,2):INDEX(grupe,0,3),2,FALSE))</f>
        <v/>
      </c>
      <c r="G98" s="5"/>
      <c r="H98" s="5"/>
      <c r="I98" s="5"/>
      <c r="J98" s="5"/>
      <c r="K98" s="5"/>
      <c r="L98" s="5"/>
      <c r="M98" s="5"/>
      <c r="N98" s="5"/>
      <c r="O98" s="5"/>
      <c r="P98" s="5"/>
      <c r="Q98" s="8">
        <f>IF(COUNTA($A98:$D98,G98:N98,P98)=0,"",IF($A98="","Nedostaje godište",IF($E98="","Godište nije obuhvaćeno uzrasnom tabelom",IF($B98="","Nedostaje ime i prezime",IF(NOT(SUMPRODUCT(--ISERROR(FIND(MID($B98&amp;REPT("a",60),ROW($A$1:$A$60),1),"ABCDEFGHIJKLMNOPQRSTUVWXYZabcdefghijklmnopqrstuvwxyzČĆĐŠŽčćđšž -'")))=0),"Ime sadrži znakove koji nisu slova",IF($C98="","Nedostaje pol",IF($D98="","Nedostaje pojas",IF(COUNTA(G98:N98)=0,"Nije izabrana nijedna disciplina",IF(SUMPRODUCT(--(G98:N98&lt;&gt;""),--(COUNTIF(INDIRECT("disc_"&amp;$E98),G98:N98)=0))&gt;0,"Izabrana disciplina nije moguća za uzrast "&amp;$E98,IF(AND(COUNTIF(G98:N98,"Fudokan sport kumite")&gt;0,O98=""),"Nedostaje telesna težina za Fudokan sport kumite",IF(AND(COUNTIF(G98:N98,"Fudokan sport kumite")=0,O98&lt;&gt;""),"Telesna težina se unosi isključivo uz Fudokan sport kumite",IF(AND(P98&lt;&gt;"",NOT(IFERROR(AND(UPPER(LEFT(P98,4))="FSS-",MID(P98,LEN(P98)-2,1)="/",ISNUMBER(VALUE(RIGHT(P98,2))),VALUE(MID(P98,5,LEN(P98)-7))&gt;=1,VALUE(MID(P98,5,LEN(P98)-7))=INT(VALUE(MID(P98,5,LEN(P98)-7)))),FALSE))),"FSS ID se upisuje u obliku FSS-12/26","prijava je kompletna"))))))))))))</f>
        <v/>
      </c>
      <c r="R98">
        <f>IF($E98="","sve_discipline","disc_"&amp;$E98)</f>
        <v/>
      </c>
      <c r="S98">
        <f>IF(OR($E98="",$C98=""),"sve_kilaze","kg_"&amp;$E98&amp;"_"&amp;IF($C98="ženski","Z","M"))</f>
        <v/>
      </c>
    </row>
    <row r="99" spans="1:19">
      <c r="A99" s="5"/>
      <c r="B99" s="5"/>
      <c r="C99" s="5"/>
      <c r="D99" s="5"/>
      <c r="E99" s="7">
        <f>IF($A99="","",LOOKUP($A99,INDEX(grupe,0,1),INDEX(grupe,0,2)))</f>
        <v/>
      </c>
      <c r="F99" s="7">
        <f>IF($E99="","",VLOOKUP($E99,INDEX(grupe,0,2):INDEX(grupe,0,3),2,FALSE))</f>
        <v/>
      </c>
      <c r="G99" s="5"/>
      <c r="H99" s="5"/>
      <c r="I99" s="5"/>
      <c r="J99" s="5"/>
      <c r="K99" s="5"/>
      <c r="L99" s="5"/>
      <c r="M99" s="5"/>
      <c r="N99" s="5"/>
      <c r="O99" s="5"/>
      <c r="P99" s="5"/>
      <c r="Q99" s="8">
        <f>IF(COUNTA($A99:$D99,G99:N99,P99)=0,"",IF($A99="","Nedostaje godište",IF($E99="","Godište nije obuhvaćeno uzrasnom tabelom",IF($B99="","Nedostaje ime i prezime",IF(NOT(SUMPRODUCT(--ISERROR(FIND(MID($B99&amp;REPT("a",60),ROW($A$1:$A$60),1),"ABCDEFGHIJKLMNOPQRSTUVWXYZabcdefghijklmnopqrstuvwxyzČĆĐŠŽčćđšž -'")))=0),"Ime sadrži znakove koji nisu slova",IF($C99="","Nedostaje pol",IF($D99="","Nedostaje pojas",IF(COUNTA(G99:N99)=0,"Nije izabrana nijedna disciplina",IF(SUMPRODUCT(--(G99:N99&lt;&gt;""),--(COUNTIF(INDIRECT("disc_"&amp;$E99),G99:N99)=0))&gt;0,"Izabrana disciplina nije moguća za uzrast "&amp;$E99,IF(AND(COUNTIF(G99:N99,"Fudokan sport kumite")&gt;0,O99=""),"Nedostaje telesna težina za Fudokan sport kumite",IF(AND(COUNTIF(G99:N99,"Fudokan sport kumite")=0,O99&lt;&gt;""),"Telesna težina se unosi isključivo uz Fudokan sport kumite",IF(AND(P99&lt;&gt;"",NOT(IFERROR(AND(UPPER(LEFT(P99,4))="FSS-",MID(P99,LEN(P99)-2,1)="/",ISNUMBER(VALUE(RIGHT(P99,2))),VALUE(MID(P99,5,LEN(P99)-7))&gt;=1,VALUE(MID(P99,5,LEN(P99)-7))=INT(VALUE(MID(P99,5,LEN(P99)-7)))),FALSE))),"FSS ID se upisuje u obliku FSS-12/26","prijava je kompletna"))))))))))))</f>
        <v/>
      </c>
      <c r="R99">
        <f>IF($E99="","sve_discipline","disc_"&amp;$E99)</f>
        <v/>
      </c>
      <c r="S99">
        <f>IF(OR($E99="",$C99=""),"sve_kilaze","kg_"&amp;$E99&amp;"_"&amp;IF($C99="ženski","Z","M"))</f>
        <v/>
      </c>
    </row>
    <row r="100" spans="1:19">
      <c r="A100" s="5"/>
      <c r="B100" s="5"/>
      <c r="C100" s="5"/>
      <c r="D100" s="5"/>
      <c r="E100" s="7">
        <f>IF($A100="","",LOOKUP($A100,INDEX(grupe,0,1),INDEX(grupe,0,2)))</f>
        <v/>
      </c>
      <c r="F100" s="7">
        <f>IF($E100="","",VLOOKUP($E100,INDEX(grupe,0,2):INDEX(grupe,0,3),2,FALSE))</f>
        <v/>
      </c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8">
        <f>IF(COUNTA($A100:$D100,G100:N100,P100)=0,"",IF($A100="","Nedostaje godište",IF($E100="","Godište nije obuhvaćeno uzrasnom tabelom",IF($B100="","Nedostaje ime i prezime",IF(NOT(SUMPRODUCT(--ISERROR(FIND(MID($B100&amp;REPT("a",60),ROW($A$1:$A$60),1),"ABCDEFGHIJKLMNOPQRSTUVWXYZabcdefghijklmnopqrstuvwxyzČĆĐŠŽčćđšž -'")))=0),"Ime sadrži znakove koji nisu slova",IF($C100="","Nedostaje pol",IF($D100="","Nedostaje pojas",IF(COUNTA(G100:N100)=0,"Nije izabrana nijedna disciplina",IF(SUMPRODUCT(--(G100:N100&lt;&gt;""),--(COUNTIF(INDIRECT("disc_"&amp;$E100),G100:N100)=0))&gt;0,"Izabrana disciplina nije moguća za uzrast "&amp;$E100,IF(AND(COUNTIF(G100:N100,"Fudokan sport kumite")&gt;0,O100=""),"Nedostaje telesna težina za Fudokan sport kumite",IF(AND(COUNTIF(G100:N100,"Fudokan sport kumite")=0,O100&lt;&gt;""),"Telesna težina se unosi isključivo uz Fudokan sport kumite",IF(AND(P100&lt;&gt;"",NOT(IFERROR(AND(UPPER(LEFT(P100,4))="FSS-",MID(P100,LEN(P100)-2,1)="/",ISNUMBER(VALUE(RIGHT(P100,2))),VALUE(MID(P100,5,LEN(P100)-7))&gt;=1,VALUE(MID(P100,5,LEN(P100)-7))=INT(VALUE(MID(P100,5,LEN(P100)-7)))),FALSE))),"FSS ID se upisuje u obliku FSS-12/26","prijava je kompletna"))))))))))))</f>
        <v/>
      </c>
      <c r="R100">
        <f>IF($E100="","sve_discipline","disc_"&amp;$E100)</f>
        <v/>
      </c>
      <c r="S100">
        <f>IF(OR($E100="",$C100=""),"sve_kilaze","kg_"&amp;$E100&amp;"_"&amp;IF($C100="ženski","Z","M"))</f>
        <v/>
      </c>
    </row>
    <row r="101" spans="1:19">
      <c r="A101" s="5"/>
      <c r="B101" s="5"/>
      <c r="C101" s="5"/>
      <c r="D101" s="5"/>
      <c r="E101" s="7">
        <f>IF($A101="","",LOOKUP($A101,INDEX(grupe,0,1),INDEX(grupe,0,2)))</f>
        <v/>
      </c>
      <c r="F101" s="7">
        <f>IF($E101="","",VLOOKUP($E101,INDEX(grupe,0,2):INDEX(grupe,0,3),2,FALSE))</f>
        <v/>
      </c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8">
        <f>IF(COUNTA($A101:$D101,G101:N101,P101)=0,"",IF($A101="","Nedostaje godište",IF($E101="","Godište nije obuhvaćeno uzrasnom tabelom",IF($B101="","Nedostaje ime i prezime",IF(NOT(SUMPRODUCT(--ISERROR(FIND(MID($B101&amp;REPT("a",60),ROW($A$1:$A$60),1),"ABCDEFGHIJKLMNOPQRSTUVWXYZabcdefghijklmnopqrstuvwxyzČĆĐŠŽčćđšž -'")))=0),"Ime sadrži znakove koji nisu slova",IF($C101="","Nedostaje pol",IF($D101="","Nedostaje pojas",IF(COUNTA(G101:N101)=0,"Nije izabrana nijedna disciplina",IF(SUMPRODUCT(--(G101:N101&lt;&gt;""),--(COUNTIF(INDIRECT("disc_"&amp;$E101),G101:N101)=0))&gt;0,"Izabrana disciplina nije moguća za uzrast "&amp;$E101,IF(AND(COUNTIF(G101:N101,"Fudokan sport kumite")&gt;0,O101=""),"Nedostaje telesna težina za Fudokan sport kumite",IF(AND(COUNTIF(G101:N101,"Fudokan sport kumite")=0,O101&lt;&gt;""),"Telesna težina se unosi isključivo uz Fudokan sport kumite",IF(AND(P101&lt;&gt;"",NOT(IFERROR(AND(UPPER(LEFT(P101,4))="FSS-",MID(P101,LEN(P101)-2,1)="/",ISNUMBER(VALUE(RIGHT(P101,2))),VALUE(MID(P101,5,LEN(P101)-7))&gt;=1,VALUE(MID(P101,5,LEN(P101)-7))=INT(VALUE(MID(P101,5,LEN(P101)-7)))),FALSE))),"FSS ID se upisuje u obliku FSS-12/26","prijava je kompletna"))))))))))))</f>
        <v/>
      </c>
      <c r="R101">
        <f>IF($E101="","sve_discipline","disc_"&amp;$E101)</f>
        <v/>
      </c>
      <c r="S101">
        <f>IF(OR($E101="",$C101=""),"sve_kilaze","kg_"&amp;$E101&amp;"_"&amp;IF($C101="ženski","Z","M"))</f>
        <v/>
      </c>
    </row>
    <row r="102" spans="1:19">
      <c r="A102" s="5"/>
      <c r="B102" s="5"/>
      <c r="C102" s="5"/>
      <c r="D102" s="5"/>
      <c r="E102" s="7">
        <f>IF($A102="","",LOOKUP($A102,INDEX(grupe,0,1),INDEX(grupe,0,2)))</f>
        <v/>
      </c>
      <c r="F102" s="7">
        <f>IF($E102="","",VLOOKUP($E102,INDEX(grupe,0,2):INDEX(grupe,0,3),2,FALSE))</f>
        <v/>
      </c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8">
        <f>IF(COUNTA($A102:$D102,G102:N102,P102)=0,"",IF($A102="","Nedostaje godište",IF($E102="","Godište nije obuhvaćeno uzrasnom tabelom",IF($B102="","Nedostaje ime i prezime",IF(NOT(SUMPRODUCT(--ISERROR(FIND(MID($B102&amp;REPT("a",60),ROW($A$1:$A$60),1),"ABCDEFGHIJKLMNOPQRSTUVWXYZabcdefghijklmnopqrstuvwxyzČĆĐŠŽčćđšž -'")))=0),"Ime sadrži znakove koji nisu slova",IF($C102="","Nedostaje pol",IF($D102="","Nedostaje pojas",IF(COUNTA(G102:N102)=0,"Nije izabrana nijedna disciplina",IF(SUMPRODUCT(--(G102:N102&lt;&gt;""),--(COUNTIF(INDIRECT("disc_"&amp;$E102),G102:N102)=0))&gt;0,"Izabrana disciplina nije moguća za uzrast "&amp;$E102,IF(AND(COUNTIF(G102:N102,"Fudokan sport kumite")&gt;0,O102=""),"Nedostaje telesna težina za Fudokan sport kumite",IF(AND(COUNTIF(G102:N102,"Fudokan sport kumite")=0,O102&lt;&gt;""),"Telesna težina se unosi isključivo uz Fudokan sport kumite",IF(AND(P102&lt;&gt;"",NOT(IFERROR(AND(UPPER(LEFT(P102,4))="FSS-",MID(P102,LEN(P102)-2,1)="/",ISNUMBER(VALUE(RIGHT(P102,2))),VALUE(MID(P102,5,LEN(P102)-7))&gt;=1,VALUE(MID(P102,5,LEN(P102)-7))=INT(VALUE(MID(P102,5,LEN(P102)-7)))),FALSE))),"FSS ID se upisuje u obliku FSS-12/26","prijava je kompletna"))))))))))))</f>
        <v/>
      </c>
      <c r="R102">
        <f>IF($E102="","sve_discipline","disc_"&amp;$E102)</f>
        <v/>
      </c>
      <c r="S102">
        <f>IF(OR($E102="",$C102=""),"sve_kilaze","kg_"&amp;$E102&amp;"_"&amp;IF($C102="ženski","Z","M"))</f>
        <v/>
      </c>
    </row>
    <row r="103" spans="1:19">
      <c r="A103" s="5"/>
      <c r="B103" s="5"/>
      <c r="C103" s="5"/>
      <c r="D103" s="5"/>
      <c r="E103" s="7">
        <f>IF($A103="","",LOOKUP($A103,INDEX(grupe,0,1),INDEX(grupe,0,2)))</f>
        <v/>
      </c>
      <c r="F103" s="7">
        <f>IF($E103="","",VLOOKUP($E103,INDEX(grupe,0,2):INDEX(grupe,0,3),2,FALSE))</f>
        <v/>
      </c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8">
        <f>IF(COUNTA($A103:$D103,G103:N103,P103)=0,"",IF($A103="","Nedostaje godište",IF($E103="","Godište nije obuhvaćeno uzrasnom tabelom",IF($B103="","Nedostaje ime i prezime",IF(NOT(SUMPRODUCT(--ISERROR(FIND(MID($B103&amp;REPT("a",60),ROW($A$1:$A$60),1),"ABCDEFGHIJKLMNOPQRSTUVWXYZabcdefghijklmnopqrstuvwxyzČĆĐŠŽčćđšž -'")))=0),"Ime sadrži znakove koji nisu slova",IF($C103="","Nedostaje pol",IF($D103="","Nedostaje pojas",IF(COUNTA(G103:N103)=0,"Nije izabrana nijedna disciplina",IF(SUMPRODUCT(--(G103:N103&lt;&gt;""),--(COUNTIF(INDIRECT("disc_"&amp;$E103),G103:N103)=0))&gt;0,"Izabrana disciplina nije moguća za uzrast "&amp;$E103,IF(AND(COUNTIF(G103:N103,"Fudokan sport kumite")&gt;0,O103=""),"Nedostaje telesna težina za Fudokan sport kumite",IF(AND(COUNTIF(G103:N103,"Fudokan sport kumite")=0,O103&lt;&gt;""),"Telesna težina se unosi isključivo uz Fudokan sport kumite",IF(AND(P103&lt;&gt;"",NOT(IFERROR(AND(UPPER(LEFT(P103,4))="FSS-",MID(P103,LEN(P103)-2,1)="/",ISNUMBER(VALUE(RIGHT(P103,2))),VALUE(MID(P103,5,LEN(P103)-7))&gt;=1,VALUE(MID(P103,5,LEN(P103)-7))=INT(VALUE(MID(P103,5,LEN(P103)-7)))),FALSE))),"FSS ID se upisuje u obliku FSS-12/26","prijava je kompletna"))))))))))))</f>
        <v/>
      </c>
      <c r="R103">
        <f>IF($E103="","sve_discipline","disc_"&amp;$E103)</f>
        <v/>
      </c>
      <c r="S103">
        <f>IF(OR($E103="",$C103=""),"sve_kilaze","kg_"&amp;$E103&amp;"_"&amp;IF($C103="ženski","Z","M"))</f>
        <v/>
      </c>
    </row>
    <row r="104" spans="1:19">
      <c r="A104" s="5"/>
      <c r="B104" s="5"/>
      <c r="C104" s="5"/>
      <c r="D104" s="5"/>
      <c r="E104" s="7">
        <f>IF($A104="","",LOOKUP($A104,INDEX(grupe,0,1),INDEX(grupe,0,2)))</f>
        <v/>
      </c>
      <c r="F104" s="7">
        <f>IF($E104="","",VLOOKUP($E104,INDEX(grupe,0,2):INDEX(grupe,0,3),2,FALSE))</f>
        <v/>
      </c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8">
        <f>IF(COUNTA($A104:$D104,G104:N104,P104)=0,"",IF($A104="","Nedostaje godište",IF($E104="","Godište nije obuhvaćeno uzrasnom tabelom",IF($B104="","Nedostaje ime i prezime",IF(NOT(SUMPRODUCT(--ISERROR(FIND(MID($B104&amp;REPT("a",60),ROW($A$1:$A$60),1),"ABCDEFGHIJKLMNOPQRSTUVWXYZabcdefghijklmnopqrstuvwxyzČĆĐŠŽčćđšž -'")))=0),"Ime sadrži znakove koji nisu slova",IF($C104="","Nedostaje pol",IF($D104="","Nedostaje pojas",IF(COUNTA(G104:N104)=0,"Nije izabrana nijedna disciplina",IF(SUMPRODUCT(--(G104:N104&lt;&gt;""),--(COUNTIF(INDIRECT("disc_"&amp;$E104),G104:N104)=0))&gt;0,"Izabrana disciplina nije moguća za uzrast "&amp;$E104,IF(AND(COUNTIF(G104:N104,"Fudokan sport kumite")&gt;0,O104=""),"Nedostaje telesna težina za Fudokan sport kumite",IF(AND(COUNTIF(G104:N104,"Fudokan sport kumite")=0,O104&lt;&gt;""),"Telesna težina se unosi isključivo uz Fudokan sport kumite",IF(AND(P104&lt;&gt;"",NOT(IFERROR(AND(UPPER(LEFT(P104,4))="FSS-",MID(P104,LEN(P104)-2,1)="/",ISNUMBER(VALUE(RIGHT(P104,2))),VALUE(MID(P104,5,LEN(P104)-7))&gt;=1,VALUE(MID(P104,5,LEN(P104)-7))=INT(VALUE(MID(P104,5,LEN(P104)-7)))),FALSE))),"FSS ID se upisuje u obliku FSS-12/26","prijava je kompletna"))))))))))))</f>
        <v/>
      </c>
      <c r="R104">
        <f>IF($E104="","sve_discipline","disc_"&amp;$E104)</f>
        <v/>
      </c>
      <c r="S104">
        <f>IF(OR($E104="",$C104=""),"sve_kilaze","kg_"&amp;$E104&amp;"_"&amp;IF($C104="ženski","Z","M"))</f>
        <v/>
      </c>
    </row>
    <row r="105" spans="1:19">
      <c r="A105" s="5"/>
      <c r="B105" s="5"/>
      <c r="C105" s="5"/>
      <c r="D105" s="5"/>
      <c r="E105" s="7">
        <f>IF($A105="","",LOOKUP($A105,INDEX(grupe,0,1),INDEX(grupe,0,2)))</f>
        <v/>
      </c>
      <c r="F105" s="7">
        <f>IF($E105="","",VLOOKUP($E105,INDEX(grupe,0,2):INDEX(grupe,0,3),2,FALSE))</f>
        <v/>
      </c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8">
        <f>IF(COUNTA($A105:$D105,G105:N105,P105)=0,"",IF($A105="","Nedostaje godište",IF($E105="","Godište nije obuhvaćeno uzrasnom tabelom",IF($B105="","Nedostaje ime i prezime",IF(NOT(SUMPRODUCT(--ISERROR(FIND(MID($B105&amp;REPT("a",60),ROW($A$1:$A$60),1),"ABCDEFGHIJKLMNOPQRSTUVWXYZabcdefghijklmnopqrstuvwxyzČĆĐŠŽčćđšž -'")))=0),"Ime sadrži znakove koji nisu slova",IF($C105="","Nedostaje pol",IF($D105="","Nedostaje pojas",IF(COUNTA(G105:N105)=0,"Nije izabrana nijedna disciplina",IF(SUMPRODUCT(--(G105:N105&lt;&gt;""),--(COUNTIF(INDIRECT("disc_"&amp;$E105),G105:N105)=0))&gt;0,"Izabrana disciplina nije moguća za uzrast "&amp;$E105,IF(AND(COUNTIF(G105:N105,"Fudokan sport kumite")&gt;0,O105=""),"Nedostaje telesna težina za Fudokan sport kumite",IF(AND(COUNTIF(G105:N105,"Fudokan sport kumite")=0,O105&lt;&gt;""),"Telesna težina se unosi isključivo uz Fudokan sport kumite",IF(AND(P105&lt;&gt;"",NOT(IFERROR(AND(UPPER(LEFT(P105,4))="FSS-",MID(P105,LEN(P105)-2,1)="/",ISNUMBER(VALUE(RIGHT(P105,2))),VALUE(MID(P105,5,LEN(P105)-7))&gt;=1,VALUE(MID(P105,5,LEN(P105)-7))=INT(VALUE(MID(P105,5,LEN(P105)-7)))),FALSE))),"FSS ID se upisuje u obliku FSS-12/26","prijava je kompletna"))))))))))))</f>
        <v/>
      </c>
      <c r="R105">
        <f>IF($E105="","sve_discipline","disc_"&amp;$E105)</f>
        <v/>
      </c>
      <c r="S105">
        <f>IF(OR($E105="",$C105=""),"sve_kilaze","kg_"&amp;$E105&amp;"_"&amp;IF($C105="ženski","Z","M"))</f>
        <v/>
      </c>
    </row>
    <row r="106" spans="1:19">
      <c r="A106" s="5"/>
      <c r="B106" s="5"/>
      <c r="C106" s="5"/>
      <c r="D106" s="5"/>
      <c r="E106" s="7">
        <f>IF($A106="","",LOOKUP($A106,INDEX(grupe,0,1),INDEX(grupe,0,2)))</f>
        <v/>
      </c>
      <c r="F106" s="7">
        <f>IF($E106="","",VLOOKUP($E106,INDEX(grupe,0,2):INDEX(grupe,0,3),2,FALSE))</f>
        <v/>
      </c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8">
        <f>IF(COUNTA($A106:$D106,G106:N106,P106)=0,"",IF($A106="","Nedostaje godište",IF($E106="","Godište nije obuhvaćeno uzrasnom tabelom",IF($B106="","Nedostaje ime i prezime",IF(NOT(SUMPRODUCT(--ISERROR(FIND(MID($B106&amp;REPT("a",60),ROW($A$1:$A$60),1),"ABCDEFGHIJKLMNOPQRSTUVWXYZabcdefghijklmnopqrstuvwxyzČĆĐŠŽčćđšž -'")))=0),"Ime sadrži znakove koji nisu slova",IF($C106="","Nedostaje pol",IF($D106="","Nedostaje pojas",IF(COUNTA(G106:N106)=0,"Nije izabrana nijedna disciplina",IF(SUMPRODUCT(--(G106:N106&lt;&gt;""),--(COUNTIF(INDIRECT("disc_"&amp;$E106),G106:N106)=0))&gt;0,"Izabrana disciplina nije moguća za uzrast "&amp;$E106,IF(AND(COUNTIF(G106:N106,"Fudokan sport kumite")&gt;0,O106=""),"Nedostaje telesna težina za Fudokan sport kumite",IF(AND(COUNTIF(G106:N106,"Fudokan sport kumite")=0,O106&lt;&gt;""),"Telesna težina se unosi isključivo uz Fudokan sport kumite",IF(AND(P106&lt;&gt;"",NOT(IFERROR(AND(UPPER(LEFT(P106,4))="FSS-",MID(P106,LEN(P106)-2,1)="/",ISNUMBER(VALUE(RIGHT(P106,2))),VALUE(MID(P106,5,LEN(P106)-7))&gt;=1,VALUE(MID(P106,5,LEN(P106)-7))=INT(VALUE(MID(P106,5,LEN(P106)-7)))),FALSE))),"FSS ID se upisuje u obliku FSS-12/26","prijava je kompletna"))))))))))))</f>
        <v/>
      </c>
      <c r="R106">
        <f>IF($E106="","sve_discipline","disc_"&amp;$E106)</f>
        <v/>
      </c>
      <c r="S106">
        <f>IF(OR($E106="",$C106=""),"sve_kilaze","kg_"&amp;$E106&amp;"_"&amp;IF($C106="ženski","Z","M"))</f>
        <v/>
      </c>
    </row>
    <row r="107" spans="1:19">
      <c r="A107" s="5"/>
      <c r="B107" s="5"/>
      <c r="C107" s="5"/>
      <c r="D107" s="5"/>
      <c r="E107" s="7">
        <f>IF($A107="","",LOOKUP($A107,INDEX(grupe,0,1),INDEX(grupe,0,2)))</f>
        <v/>
      </c>
      <c r="F107" s="7">
        <f>IF($E107="","",VLOOKUP($E107,INDEX(grupe,0,2):INDEX(grupe,0,3),2,FALSE))</f>
        <v/>
      </c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8">
        <f>IF(COUNTA($A107:$D107,G107:N107,P107)=0,"",IF($A107="","Nedostaje godište",IF($E107="","Godište nije obuhvaćeno uzrasnom tabelom",IF($B107="","Nedostaje ime i prezime",IF(NOT(SUMPRODUCT(--ISERROR(FIND(MID($B107&amp;REPT("a",60),ROW($A$1:$A$60),1),"ABCDEFGHIJKLMNOPQRSTUVWXYZabcdefghijklmnopqrstuvwxyzČĆĐŠŽčćđšž -'")))=0),"Ime sadrži znakove koji nisu slova",IF($C107="","Nedostaje pol",IF($D107="","Nedostaje pojas",IF(COUNTA(G107:N107)=0,"Nije izabrana nijedna disciplina",IF(SUMPRODUCT(--(G107:N107&lt;&gt;""),--(COUNTIF(INDIRECT("disc_"&amp;$E107),G107:N107)=0))&gt;0,"Izabrana disciplina nije moguća za uzrast "&amp;$E107,IF(AND(COUNTIF(G107:N107,"Fudokan sport kumite")&gt;0,O107=""),"Nedostaje telesna težina za Fudokan sport kumite",IF(AND(COUNTIF(G107:N107,"Fudokan sport kumite")=0,O107&lt;&gt;""),"Telesna težina se unosi isključivo uz Fudokan sport kumite",IF(AND(P107&lt;&gt;"",NOT(IFERROR(AND(UPPER(LEFT(P107,4))="FSS-",MID(P107,LEN(P107)-2,1)="/",ISNUMBER(VALUE(RIGHT(P107,2))),VALUE(MID(P107,5,LEN(P107)-7))&gt;=1,VALUE(MID(P107,5,LEN(P107)-7))=INT(VALUE(MID(P107,5,LEN(P107)-7)))),FALSE))),"FSS ID se upisuje u obliku FSS-12/26","prijava je kompletna"))))))))))))</f>
        <v/>
      </c>
      <c r="R107">
        <f>IF($E107="","sve_discipline","disc_"&amp;$E107)</f>
        <v/>
      </c>
      <c r="S107">
        <f>IF(OR($E107="",$C107=""),"sve_kilaze","kg_"&amp;$E107&amp;"_"&amp;IF($C107="ženski","Z","M"))</f>
        <v/>
      </c>
    </row>
    <row r="108" spans="1:19">
      <c r="A108" s="5"/>
      <c r="B108" s="5"/>
      <c r="C108" s="5"/>
      <c r="D108" s="5"/>
      <c r="E108" s="7">
        <f>IF($A108="","",LOOKUP($A108,INDEX(grupe,0,1),INDEX(grupe,0,2)))</f>
        <v/>
      </c>
      <c r="F108" s="7">
        <f>IF($E108="","",VLOOKUP($E108,INDEX(grupe,0,2):INDEX(grupe,0,3),2,FALSE))</f>
        <v/>
      </c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8">
        <f>IF(COUNTA($A108:$D108,G108:N108,P108)=0,"",IF($A108="","Nedostaje godište",IF($E108="","Godište nije obuhvaćeno uzrasnom tabelom",IF($B108="","Nedostaje ime i prezime",IF(NOT(SUMPRODUCT(--ISERROR(FIND(MID($B108&amp;REPT("a",60),ROW($A$1:$A$60),1),"ABCDEFGHIJKLMNOPQRSTUVWXYZabcdefghijklmnopqrstuvwxyzČĆĐŠŽčćđšž -'")))=0),"Ime sadrži znakove koji nisu slova",IF($C108="","Nedostaje pol",IF($D108="","Nedostaje pojas",IF(COUNTA(G108:N108)=0,"Nije izabrana nijedna disciplina",IF(SUMPRODUCT(--(G108:N108&lt;&gt;""),--(COUNTIF(INDIRECT("disc_"&amp;$E108),G108:N108)=0))&gt;0,"Izabrana disciplina nije moguća za uzrast "&amp;$E108,IF(AND(COUNTIF(G108:N108,"Fudokan sport kumite")&gt;0,O108=""),"Nedostaje telesna težina za Fudokan sport kumite",IF(AND(COUNTIF(G108:N108,"Fudokan sport kumite")=0,O108&lt;&gt;""),"Telesna težina se unosi isključivo uz Fudokan sport kumite",IF(AND(P108&lt;&gt;"",NOT(IFERROR(AND(UPPER(LEFT(P108,4))="FSS-",MID(P108,LEN(P108)-2,1)="/",ISNUMBER(VALUE(RIGHT(P108,2))),VALUE(MID(P108,5,LEN(P108)-7))&gt;=1,VALUE(MID(P108,5,LEN(P108)-7))=INT(VALUE(MID(P108,5,LEN(P108)-7)))),FALSE))),"FSS ID se upisuje u obliku FSS-12/26","prijava je kompletna"))))))))))))</f>
        <v/>
      </c>
      <c r="R108">
        <f>IF($E108="","sve_discipline","disc_"&amp;$E108)</f>
        <v/>
      </c>
      <c r="S108">
        <f>IF(OR($E108="",$C108=""),"sve_kilaze","kg_"&amp;$E108&amp;"_"&amp;IF($C108="ženski","Z","M"))</f>
        <v/>
      </c>
    </row>
    <row r="109" spans="1:19">
      <c r="A109" s="5"/>
      <c r="B109" s="5"/>
      <c r="C109" s="5"/>
      <c r="D109" s="5"/>
      <c r="E109" s="7">
        <f>IF($A109="","",LOOKUP($A109,INDEX(grupe,0,1),INDEX(grupe,0,2)))</f>
        <v/>
      </c>
      <c r="F109" s="7">
        <f>IF($E109="","",VLOOKUP($E109,INDEX(grupe,0,2):INDEX(grupe,0,3),2,FALSE))</f>
        <v/>
      </c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8">
        <f>IF(COUNTA($A109:$D109,G109:N109,P109)=0,"",IF($A109="","Nedostaje godište",IF($E109="","Godište nije obuhvaćeno uzrasnom tabelom",IF($B109="","Nedostaje ime i prezime",IF(NOT(SUMPRODUCT(--ISERROR(FIND(MID($B109&amp;REPT("a",60),ROW($A$1:$A$60),1),"ABCDEFGHIJKLMNOPQRSTUVWXYZabcdefghijklmnopqrstuvwxyzČĆĐŠŽčćđšž -'")))=0),"Ime sadrži znakove koji nisu slova",IF($C109="","Nedostaje pol",IF($D109="","Nedostaje pojas",IF(COUNTA(G109:N109)=0,"Nije izabrana nijedna disciplina",IF(SUMPRODUCT(--(G109:N109&lt;&gt;""),--(COUNTIF(INDIRECT("disc_"&amp;$E109),G109:N109)=0))&gt;0,"Izabrana disciplina nije moguća za uzrast "&amp;$E109,IF(AND(COUNTIF(G109:N109,"Fudokan sport kumite")&gt;0,O109=""),"Nedostaje telesna težina za Fudokan sport kumite",IF(AND(COUNTIF(G109:N109,"Fudokan sport kumite")=0,O109&lt;&gt;""),"Telesna težina se unosi isključivo uz Fudokan sport kumite",IF(AND(P109&lt;&gt;"",NOT(IFERROR(AND(UPPER(LEFT(P109,4))="FSS-",MID(P109,LEN(P109)-2,1)="/",ISNUMBER(VALUE(RIGHT(P109,2))),VALUE(MID(P109,5,LEN(P109)-7))&gt;=1,VALUE(MID(P109,5,LEN(P109)-7))=INT(VALUE(MID(P109,5,LEN(P109)-7)))),FALSE))),"FSS ID se upisuje u obliku FSS-12/26","prijava je kompletna"))))))))))))</f>
        <v/>
      </c>
      <c r="R109">
        <f>IF($E109="","sve_discipline","disc_"&amp;$E109)</f>
        <v/>
      </c>
      <c r="S109">
        <f>IF(OR($E109="",$C109=""),"sve_kilaze","kg_"&amp;$E109&amp;"_"&amp;IF($C109="ženski","Z","M"))</f>
        <v/>
      </c>
    </row>
    <row r="110" spans="1:19">
      <c r="A110" s="5"/>
      <c r="B110" s="5"/>
      <c r="C110" s="5"/>
      <c r="D110" s="5"/>
      <c r="E110" s="7">
        <f>IF($A110="","",LOOKUP($A110,INDEX(grupe,0,1),INDEX(grupe,0,2)))</f>
        <v/>
      </c>
      <c r="F110" s="7">
        <f>IF($E110="","",VLOOKUP($E110,INDEX(grupe,0,2):INDEX(grupe,0,3),2,FALSE))</f>
        <v/>
      </c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8">
        <f>IF(COUNTA($A110:$D110,G110:N110,P110)=0,"",IF($A110="","Nedostaje godište",IF($E110="","Godište nije obuhvaćeno uzrasnom tabelom",IF($B110="","Nedostaje ime i prezime",IF(NOT(SUMPRODUCT(--ISERROR(FIND(MID($B110&amp;REPT("a",60),ROW($A$1:$A$60),1),"ABCDEFGHIJKLMNOPQRSTUVWXYZabcdefghijklmnopqrstuvwxyzČĆĐŠŽčćđšž -'")))=0),"Ime sadrži znakove koji nisu slova",IF($C110="","Nedostaje pol",IF($D110="","Nedostaje pojas",IF(COUNTA(G110:N110)=0,"Nije izabrana nijedna disciplina",IF(SUMPRODUCT(--(G110:N110&lt;&gt;""),--(COUNTIF(INDIRECT("disc_"&amp;$E110),G110:N110)=0))&gt;0,"Izabrana disciplina nije moguća za uzrast "&amp;$E110,IF(AND(COUNTIF(G110:N110,"Fudokan sport kumite")&gt;0,O110=""),"Nedostaje telesna težina za Fudokan sport kumite",IF(AND(COUNTIF(G110:N110,"Fudokan sport kumite")=0,O110&lt;&gt;""),"Telesna težina se unosi isključivo uz Fudokan sport kumite",IF(AND(P110&lt;&gt;"",NOT(IFERROR(AND(UPPER(LEFT(P110,4))="FSS-",MID(P110,LEN(P110)-2,1)="/",ISNUMBER(VALUE(RIGHT(P110,2))),VALUE(MID(P110,5,LEN(P110)-7))&gt;=1,VALUE(MID(P110,5,LEN(P110)-7))=INT(VALUE(MID(P110,5,LEN(P110)-7)))),FALSE))),"FSS ID se upisuje u obliku FSS-12/26","prijava je kompletna"))))))))))))</f>
        <v/>
      </c>
      <c r="R110">
        <f>IF($E110="","sve_discipline","disc_"&amp;$E110)</f>
        <v/>
      </c>
      <c r="S110">
        <f>IF(OR($E110="",$C110=""),"sve_kilaze","kg_"&amp;$E110&amp;"_"&amp;IF($C110="ženski","Z","M"))</f>
        <v/>
      </c>
    </row>
    <row r="111" spans="1:19">
      <c r="A111" s="5"/>
      <c r="B111" s="5"/>
      <c r="C111" s="5"/>
      <c r="D111" s="5"/>
      <c r="E111" s="7">
        <f>IF($A111="","",LOOKUP($A111,INDEX(grupe,0,1),INDEX(grupe,0,2)))</f>
        <v/>
      </c>
      <c r="F111" s="7">
        <f>IF($E111="","",VLOOKUP($E111,INDEX(grupe,0,2):INDEX(grupe,0,3),2,FALSE))</f>
        <v/>
      </c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8">
        <f>IF(COUNTA($A111:$D111,G111:N111,P111)=0,"",IF($A111="","Nedostaje godište",IF($E111="","Godište nije obuhvaćeno uzrasnom tabelom",IF($B111="","Nedostaje ime i prezime",IF(NOT(SUMPRODUCT(--ISERROR(FIND(MID($B111&amp;REPT("a",60),ROW($A$1:$A$60),1),"ABCDEFGHIJKLMNOPQRSTUVWXYZabcdefghijklmnopqrstuvwxyzČĆĐŠŽčćđšž -'")))=0),"Ime sadrži znakove koji nisu slova",IF($C111="","Nedostaje pol",IF($D111="","Nedostaje pojas",IF(COUNTA(G111:N111)=0,"Nije izabrana nijedna disciplina",IF(SUMPRODUCT(--(G111:N111&lt;&gt;""),--(COUNTIF(INDIRECT("disc_"&amp;$E111),G111:N111)=0))&gt;0,"Izabrana disciplina nije moguća za uzrast "&amp;$E111,IF(AND(COUNTIF(G111:N111,"Fudokan sport kumite")&gt;0,O111=""),"Nedostaje telesna težina za Fudokan sport kumite",IF(AND(COUNTIF(G111:N111,"Fudokan sport kumite")=0,O111&lt;&gt;""),"Telesna težina se unosi isključivo uz Fudokan sport kumite",IF(AND(P111&lt;&gt;"",NOT(IFERROR(AND(UPPER(LEFT(P111,4))="FSS-",MID(P111,LEN(P111)-2,1)="/",ISNUMBER(VALUE(RIGHT(P111,2))),VALUE(MID(P111,5,LEN(P111)-7))&gt;=1,VALUE(MID(P111,5,LEN(P111)-7))=INT(VALUE(MID(P111,5,LEN(P111)-7)))),FALSE))),"FSS ID se upisuje u obliku FSS-12/26","prijava je kompletna"))))))))))))</f>
        <v/>
      </c>
      <c r="R111">
        <f>IF($E111="","sve_discipline","disc_"&amp;$E111)</f>
        <v/>
      </c>
      <c r="S111">
        <f>IF(OR($E111="",$C111=""),"sve_kilaze","kg_"&amp;$E111&amp;"_"&amp;IF($C111="ženski","Z","M"))</f>
        <v/>
      </c>
    </row>
    <row r="112" spans="1:19">
      <c r="A112" s="5"/>
      <c r="B112" s="5"/>
      <c r="C112" s="5"/>
      <c r="D112" s="5"/>
      <c r="E112" s="7">
        <f>IF($A112="","",LOOKUP($A112,INDEX(grupe,0,1),INDEX(grupe,0,2)))</f>
        <v/>
      </c>
      <c r="F112" s="7">
        <f>IF($E112="","",VLOOKUP($E112,INDEX(grupe,0,2):INDEX(grupe,0,3),2,FALSE))</f>
        <v/>
      </c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8">
        <f>IF(COUNTA($A112:$D112,G112:N112,P112)=0,"",IF($A112="","Nedostaje godište",IF($E112="","Godište nije obuhvaćeno uzrasnom tabelom",IF($B112="","Nedostaje ime i prezime",IF(NOT(SUMPRODUCT(--ISERROR(FIND(MID($B112&amp;REPT("a",60),ROW($A$1:$A$60),1),"ABCDEFGHIJKLMNOPQRSTUVWXYZabcdefghijklmnopqrstuvwxyzČĆĐŠŽčćđšž -'")))=0),"Ime sadrži znakove koji nisu slova",IF($C112="","Nedostaje pol",IF($D112="","Nedostaje pojas",IF(COUNTA(G112:N112)=0,"Nije izabrana nijedna disciplina",IF(SUMPRODUCT(--(G112:N112&lt;&gt;""),--(COUNTIF(INDIRECT("disc_"&amp;$E112),G112:N112)=0))&gt;0,"Izabrana disciplina nije moguća za uzrast "&amp;$E112,IF(AND(COUNTIF(G112:N112,"Fudokan sport kumite")&gt;0,O112=""),"Nedostaje telesna težina za Fudokan sport kumite",IF(AND(COUNTIF(G112:N112,"Fudokan sport kumite")=0,O112&lt;&gt;""),"Telesna težina se unosi isključivo uz Fudokan sport kumite",IF(AND(P112&lt;&gt;"",NOT(IFERROR(AND(UPPER(LEFT(P112,4))="FSS-",MID(P112,LEN(P112)-2,1)="/",ISNUMBER(VALUE(RIGHT(P112,2))),VALUE(MID(P112,5,LEN(P112)-7))&gt;=1,VALUE(MID(P112,5,LEN(P112)-7))=INT(VALUE(MID(P112,5,LEN(P112)-7)))),FALSE))),"FSS ID se upisuje u obliku FSS-12/26","prijava je kompletna"))))))))))))</f>
        <v/>
      </c>
      <c r="R112">
        <f>IF($E112="","sve_discipline","disc_"&amp;$E112)</f>
        <v/>
      </c>
      <c r="S112">
        <f>IF(OR($E112="",$C112=""),"sve_kilaze","kg_"&amp;$E112&amp;"_"&amp;IF($C112="ženski","Z","M"))</f>
        <v/>
      </c>
    </row>
    <row r="113" spans="1:19">
      <c r="A113" s="5"/>
      <c r="B113" s="5"/>
      <c r="C113" s="5"/>
      <c r="D113" s="5"/>
      <c r="E113" s="7">
        <f>IF($A113="","",LOOKUP($A113,INDEX(grupe,0,1),INDEX(grupe,0,2)))</f>
        <v/>
      </c>
      <c r="F113" s="7">
        <f>IF($E113="","",VLOOKUP($E113,INDEX(grupe,0,2):INDEX(grupe,0,3),2,FALSE))</f>
        <v/>
      </c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8">
        <f>IF(COUNTA($A113:$D113,G113:N113,P113)=0,"",IF($A113="","Nedostaje godište",IF($E113="","Godište nije obuhvaćeno uzrasnom tabelom",IF($B113="","Nedostaje ime i prezime",IF(NOT(SUMPRODUCT(--ISERROR(FIND(MID($B113&amp;REPT("a",60),ROW($A$1:$A$60),1),"ABCDEFGHIJKLMNOPQRSTUVWXYZabcdefghijklmnopqrstuvwxyzČĆĐŠŽčćđšž -'")))=0),"Ime sadrži znakove koji nisu slova",IF($C113="","Nedostaje pol",IF($D113="","Nedostaje pojas",IF(COUNTA(G113:N113)=0,"Nije izabrana nijedna disciplina",IF(SUMPRODUCT(--(G113:N113&lt;&gt;""),--(COUNTIF(INDIRECT("disc_"&amp;$E113),G113:N113)=0))&gt;0,"Izabrana disciplina nije moguća za uzrast "&amp;$E113,IF(AND(COUNTIF(G113:N113,"Fudokan sport kumite")&gt;0,O113=""),"Nedostaje telesna težina za Fudokan sport kumite",IF(AND(COUNTIF(G113:N113,"Fudokan sport kumite")=0,O113&lt;&gt;""),"Telesna težina se unosi isključivo uz Fudokan sport kumite",IF(AND(P113&lt;&gt;"",NOT(IFERROR(AND(UPPER(LEFT(P113,4))="FSS-",MID(P113,LEN(P113)-2,1)="/",ISNUMBER(VALUE(RIGHT(P113,2))),VALUE(MID(P113,5,LEN(P113)-7))&gt;=1,VALUE(MID(P113,5,LEN(P113)-7))=INT(VALUE(MID(P113,5,LEN(P113)-7)))),FALSE))),"FSS ID se upisuje u obliku FSS-12/26","prijava je kompletna"))))))))))))</f>
        <v/>
      </c>
      <c r="R113">
        <f>IF($E113="","sve_discipline","disc_"&amp;$E113)</f>
        <v/>
      </c>
      <c r="S113">
        <f>IF(OR($E113="",$C113=""),"sve_kilaze","kg_"&amp;$E113&amp;"_"&amp;IF($C113="ženski","Z","M"))</f>
        <v/>
      </c>
    </row>
    <row r="114" spans="1:19">
      <c r="A114" s="5"/>
      <c r="B114" s="5"/>
      <c r="C114" s="5"/>
      <c r="D114" s="5"/>
      <c r="E114" s="7">
        <f>IF($A114="","",LOOKUP($A114,INDEX(grupe,0,1),INDEX(grupe,0,2)))</f>
        <v/>
      </c>
      <c r="F114" s="7">
        <f>IF($E114="","",VLOOKUP($E114,INDEX(grupe,0,2):INDEX(grupe,0,3),2,FALSE))</f>
        <v/>
      </c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8">
        <f>IF(COUNTA($A114:$D114,G114:N114,P114)=0,"",IF($A114="","Nedostaje godište",IF($E114="","Godište nije obuhvaćeno uzrasnom tabelom",IF($B114="","Nedostaje ime i prezime",IF(NOT(SUMPRODUCT(--ISERROR(FIND(MID($B114&amp;REPT("a",60),ROW($A$1:$A$60),1),"ABCDEFGHIJKLMNOPQRSTUVWXYZabcdefghijklmnopqrstuvwxyzČĆĐŠŽčćđšž -'")))=0),"Ime sadrži znakove koji nisu slova",IF($C114="","Nedostaje pol",IF($D114="","Nedostaje pojas",IF(COUNTA(G114:N114)=0,"Nije izabrana nijedna disciplina",IF(SUMPRODUCT(--(G114:N114&lt;&gt;""),--(COUNTIF(INDIRECT("disc_"&amp;$E114),G114:N114)=0))&gt;0,"Izabrana disciplina nije moguća za uzrast "&amp;$E114,IF(AND(COUNTIF(G114:N114,"Fudokan sport kumite")&gt;0,O114=""),"Nedostaje telesna težina za Fudokan sport kumite",IF(AND(COUNTIF(G114:N114,"Fudokan sport kumite")=0,O114&lt;&gt;""),"Telesna težina se unosi isključivo uz Fudokan sport kumite",IF(AND(P114&lt;&gt;"",NOT(IFERROR(AND(UPPER(LEFT(P114,4))="FSS-",MID(P114,LEN(P114)-2,1)="/",ISNUMBER(VALUE(RIGHT(P114,2))),VALUE(MID(P114,5,LEN(P114)-7))&gt;=1,VALUE(MID(P114,5,LEN(P114)-7))=INT(VALUE(MID(P114,5,LEN(P114)-7)))),FALSE))),"FSS ID se upisuje u obliku FSS-12/26","prijava je kompletna"))))))))))))</f>
        <v/>
      </c>
      <c r="R114">
        <f>IF($E114="","sve_discipline","disc_"&amp;$E114)</f>
        <v/>
      </c>
      <c r="S114">
        <f>IF(OR($E114="",$C114=""),"sve_kilaze","kg_"&amp;$E114&amp;"_"&amp;IF($C114="ženski","Z","M"))</f>
        <v/>
      </c>
    </row>
    <row r="115" spans="1:19">
      <c r="A115" s="5"/>
      <c r="B115" s="5"/>
      <c r="C115" s="5"/>
      <c r="D115" s="5"/>
      <c r="E115" s="7">
        <f>IF($A115="","",LOOKUP($A115,INDEX(grupe,0,1),INDEX(grupe,0,2)))</f>
        <v/>
      </c>
      <c r="F115" s="7">
        <f>IF($E115="","",VLOOKUP($E115,INDEX(grupe,0,2):INDEX(grupe,0,3),2,FALSE))</f>
        <v/>
      </c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8">
        <f>IF(COUNTA($A115:$D115,G115:N115,P115)=0,"",IF($A115="","Nedostaje godište",IF($E115="","Godište nije obuhvaćeno uzrasnom tabelom",IF($B115="","Nedostaje ime i prezime",IF(NOT(SUMPRODUCT(--ISERROR(FIND(MID($B115&amp;REPT("a",60),ROW($A$1:$A$60),1),"ABCDEFGHIJKLMNOPQRSTUVWXYZabcdefghijklmnopqrstuvwxyzČĆĐŠŽčćđšž -'")))=0),"Ime sadrži znakove koji nisu slova",IF($C115="","Nedostaje pol",IF($D115="","Nedostaje pojas",IF(COUNTA(G115:N115)=0,"Nije izabrana nijedna disciplina",IF(SUMPRODUCT(--(G115:N115&lt;&gt;""),--(COUNTIF(INDIRECT("disc_"&amp;$E115),G115:N115)=0))&gt;0,"Izabrana disciplina nije moguća za uzrast "&amp;$E115,IF(AND(COUNTIF(G115:N115,"Fudokan sport kumite")&gt;0,O115=""),"Nedostaje telesna težina za Fudokan sport kumite",IF(AND(COUNTIF(G115:N115,"Fudokan sport kumite")=0,O115&lt;&gt;""),"Telesna težina se unosi isključivo uz Fudokan sport kumite",IF(AND(P115&lt;&gt;"",NOT(IFERROR(AND(UPPER(LEFT(P115,4))="FSS-",MID(P115,LEN(P115)-2,1)="/",ISNUMBER(VALUE(RIGHT(P115,2))),VALUE(MID(P115,5,LEN(P115)-7))&gt;=1,VALUE(MID(P115,5,LEN(P115)-7))=INT(VALUE(MID(P115,5,LEN(P115)-7)))),FALSE))),"FSS ID se upisuje u obliku FSS-12/26","prijava je kompletna"))))))))))))</f>
        <v/>
      </c>
      <c r="R115">
        <f>IF($E115="","sve_discipline","disc_"&amp;$E115)</f>
        <v/>
      </c>
      <c r="S115">
        <f>IF(OR($E115="",$C115=""),"sve_kilaze","kg_"&amp;$E115&amp;"_"&amp;IF($C115="ženski","Z","M"))</f>
        <v/>
      </c>
    </row>
    <row r="116" spans="1:19">
      <c r="A116" s="5"/>
      <c r="B116" s="5"/>
      <c r="C116" s="5"/>
      <c r="D116" s="5"/>
      <c r="E116" s="7">
        <f>IF($A116="","",LOOKUP($A116,INDEX(grupe,0,1),INDEX(grupe,0,2)))</f>
        <v/>
      </c>
      <c r="F116" s="7">
        <f>IF($E116="","",VLOOKUP($E116,INDEX(grupe,0,2):INDEX(grupe,0,3),2,FALSE))</f>
        <v/>
      </c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8">
        <f>IF(COUNTA($A116:$D116,G116:N116,P116)=0,"",IF($A116="","Nedostaje godište",IF($E116="","Godište nije obuhvaćeno uzrasnom tabelom",IF($B116="","Nedostaje ime i prezime",IF(NOT(SUMPRODUCT(--ISERROR(FIND(MID($B116&amp;REPT("a",60),ROW($A$1:$A$60),1),"ABCDEFGHIJKLMNOPQRSTUVWXYZabcdefghijklmnopqrstuvwxyzČĆĐŠŽčćđšž -'")))=0),"Ime sadrži znakove koji nisu slova",IF($C116="","Nedostaje pol",IF($D116="","Nedostaje pojas",IF(COUNTA(G116:N116)=0,"Nije izabrana nijedna disciplina",IF(SUMPRODUCT(--(G116:N116&lt;&gt;""),--(COUNTIF(INDIRECT("disc_"&amp;$E116),G116:N116)=0))&gt;0,"Izabrana disciplina nije moguća za uzrast "&amp;$E116,IF(AND(COUNTIF(G116:N116,"Fudokan sport kumite")&gt;0,O116=""),"Nedostaje telesna težina za Fudokan sport kumite",IF(AND(COUNTIF(G116:N116,"Fudokan sport kumite")=0,O116&lt;&gt;""),"Telesna težina se unosi isključivo uz Fudokan sport kumite",IF(AND(P116&lt;&gt;"",NOT(IFERROR(AND(UPPER(LEFT(P116,4))="FSS-",MID(P116,LEN(P116)-2,1)="/",ISNUMBER(VALUE(RIGHT(P116,2))),VALUE(MID(P116,5,LEN(P116)-7))&gt;=1,VALUE(MID(P116,5,LEN(P116)-7))=INT(VALUE(MID(P116,5,LEN(P116)-7)))),FALSE))),"FSS ID se upisuje u obliku FSS-12/26","prijava je kompletna"))))))))))))</f>
        <v/>
      </c>
      <c r="R116">
        <f>IF($E116="","sve_discipline","disc_"&amp;$E116)</f>
        <v/>
      </c>
      <c r="S116">
        <f>IF(OR($E116="",$C116=""),"sve_kilaze","kg_"&amp;$E116&amp;"_"&amp;IF($C116="ženski","Z","M"))</f>
        <v/>
      </c>
    </row>
    <row r="117" spans="1:19">
      <c r="A117" s="5"/>
      <c r="B117" s="5"/>
      <c r="C117" s="5"/>
      <c r="D117" s="5"/>
      <c r="E117" s="7">
        <f>IF($A117="","",LOOKUP($A117,INDEX(grupe,0,1),INDEX(grupe,0,2)))</f>
        <v/>
      </c>
      <c r="F117" s="7">
        <f>IF($E117="","",VLOOKUP($E117,INDEX(grupe,0,2):INDEX(grupe,0,3),2,FALSE))</f>
        <v/>
      </c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8">
        <f>IF(COUNTA($A117:$D117,G117:N117,P117)=0,"",IF($A117="","Nedostaje godište",IF($E117="","Godište nije obuhvaćeno uzrasnom tabelom",IF($B117="","Nedostaje ime i prezime",IF(NOT(SUMPRODUCT(--ISERROR(FIND(MID($B117&amp;REPT("a",60),ROW($A$1:$A$60),1),"ABCDEFGHIJKLMNOPQRSTUVWXYZabcdefghijklmnopqrstuvwxyzČĆĐŠŽčćđšž -'")))=0),"Ime sadrži znakove koji nisu slova",IF($C117="","Nedostaje pol",IF($D117="","Nedostaje pojas",IF(COUNTA(G117:N117)=0,"Nije izabrana nijedna disciplina",IF(SUMPRODUCT(--(G117:N117&lt;&gt;""),--(COUNTIF(INDIRECT("disc_"&amp;$E117),G117:N117)=0))&gt;0,"Izabrana disciplina nije moguća za uzrast "&amp;$E117,IF(AND(COUNTIF(G117:N117,"Fudokan sport kumite")&gt;0,O117=""),"Nedostaje telesna težina za Fudokan sport kumite",IF(AND(COUNTIF(G117:N117,"Fudokan sport kumite")=0,O117&lt;&gt;""),"Telesna težina se unosi isključivo uz Fudokan sport kumite",IF(AND(P117&lt;&gt;"",NOT(IFERROR(AND(UPPER(LEFT(P117,4))="FSS-",MID(P117,LEN(P117)-2,1)="/",ISNUMBER(VALUE(RIGHT(P117,2))),VALUE(MID(P117,5,LEN(P117)-7))&gt;=1,VALUE(MID(P117,5,LEN(P117)-7))=INT(VALUE(MID(P117,5,LEN(P117)-7)))),FALSE))),"FSS ID se upisuje u obliku FSS-12/26","prijava je kompletna"))))))))))))</f>
        <v/>
      </c>
      <c r="R117">
        <f>IF($E117="","sve_discipline","disc_"&amp;$E117)</f>
        <v/>
      </c>
      <c r="S117">
        <f>IF(OR($E117="",$C117=""),"sve_kilaze","kg_"&amp;$E117&amp;"_"&amp;IF($C117="ženski","Z","M"))</f>
        <v/>
      </c>
    </row>
    <row r="118" spans="1:19">
      <c r="A118" s="5"/>
      <c r="B118" s="5"/>
      <c r="C118" s="5"/>
      <c r="D118" s="5"/>
      <c r="E118" s="7">
        <f>IF($A118="","",LOOKUP($A118,INDEX(grupe,0,1),INDEX(grupe,0,2)))</f>
        <v/>
      </c>
      <c r="F118" s="7">
        <f>IF($E118="","",VLOOKUP($E118,INDEX(grupe,0,2):INDEX(grupe,0,3),2,FALSE))</f>
        <v/>
      </c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8">
        <f>IF(COUNTA($A118:$D118,G118:N118,P118)=0,"",IF($A118="","Nedostaje godište",IF($E118="","Godište nije obuhvaćeno uzrasnom tabelom",IF($B118="","Nedostaje ime i prezime",IF(NOT(SUMPRODUCT(--ISERROR(FIND(MID($B118&amp;REPT("a",60),ROW($A$1:$A$60),1),"ABCDEFGHIJKLMNOPQRSTUVWXYZabcdefghijklmnopqrstuvwxyzČĆĐŠŽčćđšž -'")))=0),"Ime sadrži znakove koji nisu slova",IF($C118="","Nedostaje pol",IF($D118="","Nedostaje pojas",IF(COUNTA(G118:N118)=0,"Nije izabrana nijedna disciplina",IF(SUMPRODUCT(--(G118:N118&lt;&gt;""),--(COUNTIF(INDIRECT("disc_"&amp;$E118),G118:N118)=0))&gt;0,"Izabrana disciplina nije moguća za uzrast "&amp;$E118,IF(AND(COUNTIF(G118:N118,"Fudokan sport kumite")&gt;0,O118=""),"Nedostaje telesna težina za Fudokan sport kumite",IF(AND(COUNTIF(G118:N118,"Fudokan sport kumite")=0,O118&lt;&gt;""),"Telesna težina se unosi isključivo uz Fudokan sport kumite",IF(AND(P118&lt;&gt;"",NOT(IFERROR(AND(UPPER(LEFT(P118,4))="FSS-",MID(P118,LEN(P118)-2,1)="/",ISNUMBER(VALUE(RIGHT(P118,2))),VALUE(MID(P118,5,LEN(P118)-7))&gt;=1,VALUE(MID(P118,5,LEN(P118)-7))=INT(VALUE(MID(P118,5,LEN(P118)-7)))),FALSE))),"FSS ID se upisuje u obliku FSS-12/26","prijava je kompletna"))))))))))))</f>
        <v/>
      </c>
      <c r="R118">
        <f>IF($E118="","sve_discipline","disc_"&amp;$E118)</f>
        <v/>
      </c>
      <c r="S118">
        <f>IF(OR($E118="",$C118=""),"sve_kilaze","kg_"&amp;$E118&amp;"_"&amp;IF($C118="ženski","Z","M"))</f>
        <v/>
      </c>
    </row>
    <row r="119" spans="1:19">
      <c r="A119" s="5"/>
      <c r="B119" s="5"/>
      <c r="C119" s="5"/>
      <c r="D119" s="5"/>
      <c r="E119" s="7">
        <f>IF($A119="","",LOOKUP($A119,INDEX(grupe,0,1),INDEX(grupe,0,2)))</f>
        <v/>
      </c>
      <c r="F119" s="7">
        <f>IF($E119="","",VLOOKUP($E119,INDEX(grupe,0,2):INDEX(grupe,0,3),2,FALSE))</f>
        <v/>
      </c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8">
        <f>IF(COUNTA($A119:$D119,G119:N119,P119)=0,"",IF($A119="","Nedostaje godište",IF($E119="","Godište nije obuhvaćeno uzrasnom tabelom",IF($B119="","Nedostaje ime i prezime",IF(NOT(SUMPRODUCT(--ISERROR(FIND(MID($B119&amp;REPT("a",60),ROW($A$1:$A$60),1),"ABCDEFGHIJKLMNOPQRSTUVWXYZabcdefghijklmnopqrstuvwxyzČĆĐŠŽčćđšž -'")))=0),"Ime sadrži znakove koji nisu slova",IF($C119="","Nedostaje pol",IF($D119="","Nedostaje pojas",IF(COUNTA(G119:N119)=0,"Nije izabrana nijedna disciplina",IF(SUMPRODUCT(--(G119:N119&lt;&gt;""),--(COUNTIF(INDIRECT("disc_"&amp;$E119),G119:N119)=0))&gt;0,"Izabrana disciplina nije moguća za uzrast "&amp;$E119,IF(AND(COUNTIF(G119:N119,"Fudokan sport kumite")&gt;0,O119=""),"Nedostaje telesna težina za Fudokan sport kumite",IF(AND(COUNTIF(G119:N119,"Fudokan sport kumite")=0,O119&lt;&gt;""),"Telesna težina se unosi isključivo uz Fudokan sport kumite",IF(AND(P119&lt;&gt;"",NOT(IFERROR(AND(UPPER(LEFT(P119,4))="FSS-",MID(P119,LEN(P119)-2,1)="/",ISNUMBER(VALUE(RIGHT(P119,2))),VALUE(MID(P119,5,LEN(P119)-7))&gt;=1,VALUE(MID(P119,5,LEN(P119)-7))=INT(VALUE(MID(P119,5,LEN(P119)-7)))),FALSE))),"FSS ID se upisuje u obliku FSS-12/26","prijava je kompletna"))))))))))))</f>
        <v/>
      </c>
      <c r="R119">
        <f>IF($E119="","sve_discipline","disc_"&amp;$E119)</f>
        <v/>
      </c>
      <c r="S119">
        <f>IF(OR($E119="",$C119=""),"sve_kilaze","kg_"&amp;$E119&amp;"_"&amp;IF($C119="ženski","Z","M"))</f>
        <v/>
      </c>
    </row>
    <row r="120" spans="1:19">
      <c r="A120" s="5"/>
      <c r="B120" s="5"/>
      <c r="C120" s="5"/>
      <c r="D120" s="5"/>
      <c r="E120" s="7">
        <f>IF($A120="","",LOOKUP($A120,INDEX(grupe,0,1),INDEX(grupe,0,2)))</f>
        <v/>
      </c>
      <c r="F120" s="7">
        <f>IF($E120="","",VLOOKUP($E120,INDEX(grupe,0,2):INDEX(grupe,0,3),2,FALSE))</f>
        <v/>
      </c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8">
        <f>IF(COUNTA($A120:$D120,G120:N120,P120)=0,"",IF($A120="","Nedostaje godište",IF($E120="","Godište nije obuhvaćeno uzrasnom tabelom",IF($B120="","Nedostaje ime i prezime",IF(NOT(SUMPRODUCT(--ISERROR(FIND(MID($B120&amp;REPT("a",60),ROW($A$1:$A$60),1),"ABCDEFGHIJKLMNOPQRSTUVWXYZabcdefghijklmnopqrstuvwxyzČĆĐŠŽčćđšž -'")))=0),"Ime sadrži znakove koji nisu slova",IF($C120="","Nedostaje pol",IF($D120="","Nedostaje pojas",IF(COUNTA(G120:N120)=0,"Nije izabrana nijedna disciplina",IF(SUMPRODUCT(--(G120:N120&lt;&gt;""),--(COUNTIF(INDIRECT("disc_"&amp;$E120),G120:N120)=0))&gt;0,"Izabrana disciplina nije moguća za uzrast "&amp;$E120,IF(AND(COUNTIF(G120:N120,"Fudokan sport kumite")&gt;0,O120=""),"Nedostaje telesna težina za Fudokan sport kumite",IF(AND(COUNTIF(G120:N120,"Fudokan sport kumite")=0,O120&lt;&gt;""),"Telesna težina se unosi isključivo uz Fudokan sport kumite",IF(AND(P120&lt;&gt;"",NOT(IFERROR(AND(UPPER(LEFT(P120,4))="FSS-",MID(P120,LEN(P120)-2,1)="/",ISNUMBER(VALUE(RIGHT(P120,2))),VALUE(MID(P120,5,LEN(P120)-7))&gt;=1,VALUE(MID(P120,5,LEN(P120)-7))=INT(VALUE(MID(P120,5,LEN(P120)-7)))),FALSE))),"FSS ID se upisuje u obliku FSS-12/26","prijava je kompletna"))))))))))))</f>
        <v/>
      </c>
      <c r="R120">
        <f>IF($E120="","sve_discipline","disc_"&amp;$E120)</f>
        <v/>
      </c>
      <c r="S120">
        <f>IF(OR($E120="",$C120=""),"sve_kilaze","kg_"&amp;$E120&amp;"_"&amp;IF($C120="ženski","Z","M"))</f>
        <v/>
      </c>
    </row>
    <row r="121" spans="1:19">
      <c r="A121" s="5"/>
      <c r="B121" s="5"/>
      <c r="C121" s="5"/>
      <c r="D121" s="5"/>
      <c r="E121" s="7">
        <f>IF($A121="","",LOOKUP($A121,INDEX(grupe,0,1),INDEX(grupe,0,2)))</f>
        <v/>
      </c>
      <c r="F121" s="7">
        <f>IF($E121="","",VLOOKUP($E121,INDEX(grupe,0,2):INDEX(grupe,0,3),2,FALSE))</f>
        <v/>
      </c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8">
        <f>IF(COUNTA($A121:$D121,G121:N121,P121)=0,"",IF($A121="","Nedostaje godište",IF($E121="","Godište nije obuhvaćeno uzrasnom tabelom",IF($B121="","Nedostaje ime i prezime",IF(NOT(SUMPRODUCT(--ISERROR(FIND(MID($B121&amp;REPT("a",60),ROW($A$1:$A$60),1),"ABCDEFGHIJKLMNOPQRSTUVWXYZabcdefghijklmnopqrstuvwxyzČĆĐŠŽčćđšž -'")))=0),"Ime sadrži znakove koji nisu slova",IF($C121="","Nedostaje pol",IF($D121="","Nedostaje pojas",IF(COUNTA(G121:N121)=0,"Nije izabrana nijedna disciplina",IF(SUMPRODUCT(--(G121:N121&lt;&gt;""),--(COUNTIF(INDIRECT("disc_"&amp;$E121),G121:N121)=0))&gt;0,"Izabrana disciplina nije moguća za uzrast "&amp;$E121,IF(AND(COUNTIF(G121:N121,"Fudokan sport kumite")&gt;0,O121=""),"Nedostaje telesna težina za Fudokan sport kumite",IF(AND(COUNTIF(G121:N121,"Fudokan sport kumite")=0,O121&lt;&gt;""),"Telesna težina se unosi isključivo uz Fudokan sport kumite",IF(AND(P121&lt;&gt;"",NOT(IFERROR(AND(UPPER(LEFT(P121,4))="FSS-",MID(P121,LEN(P121)-2,1)="/",ISNUMBER(VALUE(RIGHT(P121,2))),VALUE(MID(P121,5,LEN(P121)-7))&gt;=1,VALUE(MID(P121,5,LEN(P121)-7))=INT(VALUE(MID(P121,5,LEN(P121)-7)))),FALSE))),"FSS ID se upisuje u obliku FSS-12/26","prijava je kompletna"))))))))))))</f>
        <v/>
      </c>
      <c r="R121">
        <f>IF($E121="","sve_discipline","disc_"&amp;$E121)</f>
        <v/>
      </c>
      <c r="S121">
        <f>IF(OR($E121="",$C121=""),"sve_kilaze","kg_"&amp;$E121&amp;"_"&amp;IF($C121="ženski","Z","M"))</f>
        <v/>
      </c>
    </row>
    <row r="122" spans="1:19">
      <c r="A122" s="5"/>
      <c r="B122" s="5"/>
      <c r="C122" s="5"/>
      <c r="D122" s="5"/>
      <c r="E122" s="7">
        <f>IF($A122="","",LOOKUP($A122,INDEX(grupe,0,1),INDEX(grupe,0,2)))</f>
        <v/>
      </c>
      <c r="F122" s="7">
        <f>IF($E122="","",VLOOKUP($E122,INDEX(grupe,0,2):INDEX(grupe,0,3),2,FALSE))</f>
        <v/>
      </c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8">
        <f>IF(COUNTA($A122:$D122,G122:N122,P122)=0,"",IF($A122="","Nedostaje godište",IF($E122="","Godište nije obuhvaćeno uzrasnom tabelom",IF($B122="","Nedostaje ime i prezime",IF(NOT(SUMPRODUCT(--ISERROR(FIND(MID($B122&amp;REPT("a",60),ROW($A$1:$A$60),1),"ABCDEFGHIJKLMNOPQRSTUVWXYZabcdefghijklmnopqrstuvwxyzČĆĐŠŽčćđšž -'")))=0),"Ime sadrži znakove koji nisu slova",IF($C122="","Nedostaje pol",IF($D122="","Nedostaje pojas",IF(COUNTA(G122:N122)=0,"Nije izabrana nijedna disciplina",IF(SUMPRODUCT(--(G122:N122&lt;&gt;""),--(COUNTIF(INDIRECT("disc_"&amp;$E122),G122:N122)=0))&gt;0,"Izabrana disciplina nije moguća za uzrast "&amp;$E122,IF(AND(COUNTIF(G122:N122,"Fudokan sport kumite")&gt;0,O122=""),"Nedostaje telesna težina za Fudokan sport kumite",IF(AND(COUNTIF(G122:N122,"Fudokan sport kumite")=0,O122&lt;&gt;""),"Telesna težina se unosi isključivo uz Fudokan sport kumite",IF(AND(P122&lt;&gt;"",NOT(IFERROR(AND(UPPER(LEFT(P122,4))="FSS-",MID(P122,LEN(P122)-2,1)="/",ISNUMBER(VALUE(RIGHT(P122,2))),VALUE(MID(P122,5,LEN(P122)-7))&gt;=1,VALUE(MID(P122,5,LEN(P122)-7))=INT(VALUE(MID(P122,5,LEN(P122)-7)))),FALSE))),"FSS ID se upisuje u obliku FSS-12/26","prijava je kompletna"))))))))))))</f>
        <v/>
      </c>
      <c r="R122">
        <f>IF($E122="","sve_discipline","disc_"&amp;$E122)</f>
        <v/>
      </c>
      <c r="S122">
        <f>IF(OR($E122="",$C122=""),"sve_kilaze","kg_"&amp;$E122&amp;"_"&amp;IF($C122="ženski","Z","M"))</f>
        <v/>
      </c>
    </row>
    <row r="123" spans="1:19">
      <c r="A123" s="5"/>
      <c r="B123" s="5"/>
      <c r="C123" s="5"/>
      <c r="D123" s="5"/>
      <c r="E123" s="7">
        <f>IF($A123="","",LOOKUP($A123,INDEX(grupe,0,1),INDEX(grupe,0,2)))</f>
        <v/>
      </c>
      <c r="F123" s="7">
        <f>IF($E123="","",VLOOKUP($E123,INDEX(grupe,0,2):INDEX(grupe,0,3),2,FALSE))</f>
        <v/>
      </c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8">
        <f>IF(COUNTA($A123:$D123,G123:N123,P123)=0,"",IF($A123="","Nedostaje godište",IF($E123="","Godište nije obuhvaćeno uzrasnom tabelom",IF($B123="","Nedostaje ime i prezime",IF(NOT(SUMPRODUCT(--ISERROR(FIND(MID($B123&amp;REPT("a",60),ROW($A$1:$A$60),1),"ABCDEFGHIJKLMNOPQRSTUVWXYZabcdefghijklmnopqrstuvwxyzČĆĐŠŽčćđšž -'")))=0),"Ime sadrži znakove koji nisu slova",IF($C123="","Nedostaje pol",IF($D123="","Nedostaje pojas",IF(COUNTA(G123:N123)=0,"Nije izabrana nijedna disciplina",IF(SUMPRODUCT(--(G123:N123&lt;&gt;""),--(COUNTIF(INDIRECT("disc_"&amp;$E123),G123:N123)=0))&gt;0,"Izabrana disciplina nije moguća za uzrast "&amp;$E123,IF(AND(COUNTIF(G123:N123,"Fudokan sport kumite")&gt;0,O123=""),"Nedostaje telesna težina za Fudokan sport kumite",IF(AND(COUNTIF(G123:N123,"Fudokan sport kumite")=0,O123&lt;&gt;""),"Telesna težina se unosi isključivo uz Fudokan sport kumite",IF(AND(P123&lt;&gt;"",NOT(IFERROR(AND(UPPER(LEFT(P123,4))="FSS-",MID(P123,LEN(P123)-2,1)="/",ISNUMBER(VALUE(RIGHT(P123,2))),VALUE(MID(P123,5,LEN(P123)-7))&gt;=1,VALUE(MID(P123,5,LEN(P123)-7))=INT(VALUE(MID(P123,5,LEN(P123)-7)))),FALSE))),"FSS ID se upisuje u obliku FSS-12/26","prijava je kompletna"))))))))))))</f>
        <v/>
      </c>
      <c r="R123">
        <f>IF($E123="","sve_discipline","disc_"&amp;$E123)</f>
        <v/>
      </c>
      <c r="S123">
        <f>IF(OR($E123="",$C123=""),"sve_kilaze","kg_"&amp;$E123&amp;"_"&amp;IF($C123="ženski","Z","M"))</f>
        <v/>
      </c>
    </row>
    <row r="124" spans="1:19">
      <c r="A124" s="5"/>
      <c r="B124" s="5"/>
      <c r="C124" s="5"/>
      <c r="D124" s="5"/>
      <c r="E124" s="7">
        <f>IF($A124="","",LOOKUP($A124,INDEX(grupe,0,1),INDEX(grupe,0,2)))</f>
        <v/>
      </c>
      <c r="F124" s="7">
        <f>IF($E124="","",VLOOKUP($E124,INDEX(grupe,0,2):INDEX(grupe,0,3),2,FALSE))</f>
        <v/>
      </c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8">
        <f>IF(COUNTA($A124:$D124,G124:N124,P124)=0,"",IF($A124="","Nedostaje godište",IF($E124="","Godište nije obuhvaćeno uzrasnom tabelom",IF($B124="","Nedostaje ime i prezime",IF(NOT(SUMPRODUCT(--ISERROR(FIND(MID($B124&amp;REPT("a",60),ROW($A$1:$A$60),1),"ABCDEFGHIJKLMNOPQRSTUVWXYZabcdefghijklmnopqrstuvwxyzČĆĐŠŽčćđšž -'")))=0),"Ime sadrži znakove koji nisu slova",IF($C124="","Nedostaje pol",IF($D124="","Nedostaje pojas",IF(COUNTA(G124:N124)=0,"Nije izabrana nijedna disciplina",IF(SUMPRODUCT(--(G124:N124&lt;&gt;""),--(COUNTIF(INDIRECT("disc_"&amp;$E124),G124:N124)=0))&gt;0,"Izabrana disciplina nije moguća za uzrast "&amp;$E124,IF(AND(COUNTIF(G124:N124,"Fudokan sport kumite")&gt;0,O124=""),"Nedostaje telesna težina za Fudokan sport kumite",IF(AND(COUNTIF(G124:N124,"Fudokan sport kumite")=0,O124&lt;&gt;""),"Telesna težina se unosi isključivo uz Fudokan sport kumite",IF(AND(P124&lt;&gt;"",NOT(IFERROR(AND(UPPER(LEFT(P124,4))="FSS-",MID(P124,LEN(P124)-2,1)="/",ISNUMBER(VALUE(RIGHT(P124,2))),VALUE(MID(P124,5,LEN(P124)-7))&gt;=1,VALUE(MID(P124,5,LEN(P124)-7))=INT(VALUE(MID(P124,5,LEN(P124)-7)))),FALSE))),"FSS ID se upisuje u obliku FSS-12/26","prijava je kompletna"))))))))))))</f>
        <v/>
      </c>
      <c r="R124">
        <f>IF($E124="","sve_discipline","disc_"&amp;$E124)</f>
        <v/>
      </c>
      <c r="S124">
        <f>IF(OR($E124="",$C124=""),"sve_kilaze","kg_"&amp;$E124&amp;"_"&amp;IF($C124="ženski","Z","M"))</f>
        <v/>
      </c>
    </row>
    <row r="125" spans="1:19">
      <c r="A125" s="5"/>
      <c r="B125" s="5"/>
      <c r="C125" s="5"/>
      <c r="D125" s="5"/>
      <c r="E125" s="7">
        <f>IF($A125="","",LOOKUP($A125,INDEX(grupe,0,1),INDEX(grupe,0,2)))</f>
        <v/>
      </c>
      <c r="F125" s="7">
        <f>IF($E125="","",VLOOKUP($E125,INDEX(grupe,0,2):INDEX(grupe,0,3),2,FALSE))</f>
        <v/>
      </c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8">
        <f>IF(COUNTA($A125:$D125,G125:N125,P125)=0,"",IF($A125="","Nedostaje godište",IF($E125="","Godište nije obuhvaćeno uzrasnom tabelom",IF($B125="","Nedostaje ime i prezime",IF(NOT(SUMPRODUCT(--ISERROR(FIND(MID($B125&amp;REPT("a",60),ROW($A$1:$A$60),1),"ABCDEFGHIJKLMNOPQRSTUVWXYZabcdefghijklmnopqrstuvwxyzČĆĐŠŽčćđšž -'")))=0),"Ime sadrži znakove koji nisu slova",IF($C125="","Nedostaje pol",IF($D125="","Nedostaje pojas",IF(COUNTA(G125:N125)=0,"Nije izabrana nijedna disciplina",IF(SUMPRODUCT(--(G125:N125&lt;&gt;""),--(COUNTIF(INDIRECT("disc_"&amp;$E125),G125:N125)=0))&gt;0,"Izabrana disciplina nije moguća za uzrast "&amp;$E125,IF(AND(COUNTIF(G125:N125,"Fudokan sport kumite")&gt;0,O125=""),"Nedostaje telesna težina za Fudokan sport kumite",IF(AND(COUNTIF(G125:N125,"Fudokan sport kumite")=0,O125&lt;&gt;""),"Telesna težina se unosi isključivo uz Fudokan sport kumite",IF(AND(P125&lt;&gt;"",NOT(IFERROR(AND(UPPER(LEFT(P125,4))="FSS-",MID(P125,LEN(P125)-2,1)="/",ISNUMBER(VALUE(RIGHT(P125,2))),VALUE(MID(P125,5,LEN(P125)-7))&gt;=1,VALUE(MID(P125,5,LEN(P125)-7))=INT(VALUE(MID(P125,5,LEN(P125)-7)))),FALSE))),"FSS ID se upisuje u obliku FSS-12/26","prijava je kompletna"))))))))))))</f>
        <v/>
      </c>
      <c r="R125">
        <f>IF($E125="","sve_discipline","disc_"&amp;$E125)</f>
        <v/>
      </c>
      <c r="S125">
        <f>IF(OR($E125="",$C125=""),"sve_kilaze","kg_"&amp;$E125&amp;"_"&amp;IF($C125="ženski","Z","M"))</f>
        <v/>
      </c>
    </row>
    <row r="126" spans="1:19">
      <c r="A126" s="5"/>
      <c r="B126" s="5"/>
      <c r="C126" s="5"/>
      <c r="D126" s="5"/>
      <c r="E126" s="7">
        <f>IF($A126="","",LOOKUP($A126,INDEX(grupe,0,1),INDEX(grupe,0,2)))</f>
        <v/>
      </c>
      <c r="F126" s="7">
        <f>IF($E126="","",VLOOKUP($E126,INDEX(grupe,0,2):INDEX(grupe,0,3),2,FALSE))</f>
        <v/>
      </c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8">
        <f>IF(COUNTA($A126:$D126,G126:N126,P126)=0,"",IF($A126="","Nedostaje godište",IF($E126="","Godište nije obuhvaćeno uzrasnom tabelom",IF($B126="","Nedostaje ime i prezime",IF(NOT(SUMPRODUCT(--ISERROR(FIND(MID($B126&amp;REPT("a",60),ROW($A$1:$A$60),1),"ABCDEFGHIJKLMNOPQRSTUVWXYZabcdefghijklmnopqrstuvwxyzČĆĐŠŽčćđšž -'")))=0),"Ime sadrži znakove koji nisu slova",IF($C126="","Nedostaje pol",IF($D126="","Nedostaje pojas",IF(COUNTA(G126:N126)=0,"Nije izabrana nijedna disciplina",IF(SUMPRODUCT(--(G126:N126&lt;&gt;""),--(COUNTIF(INDIRECT("disc_"&amp;$E126),G126:N126)=0))&gt;0,"Izabrana disciplina nije moguća za uzrast "&amp;$E126,IF(AND(COUNTIF(G126:N126,"Fudokan sport kumite")&gt;0,O126=""),"Nedostaje telesna težina za Fudokan sport kumite",IF(AND(COUNTIF(G126:N126,"Fudokan sport kumite")=0,O126&lt;&gt;""),"Telesna težina se unosi isključivo uz Fudokan sport kumite",IF(AND(P126&lt;&gt;"",NOT(IFERROR(AND(UPPER(LEFT(P126,4))="FSS-",MID(P126,LEN(P126)-2,1)="/",ISNUMBER(VALUE(RIGHT(P126,2))),VALUE(MID(P126,5,LEN(P126)-7))&gt;=1,VALUE(MID(P126,5,LEN(P126)-7))=INT(VALUE(MID(P126,5,LEN(P126)-7)))),FALSE))),"FSS ID se upisuje u obliku FSS-12/26","prijava je kompletna"))))))))))))</f>
        <v/>
      </c>
      <c r="R126">
        <f>IF($E126="","sve_discipline","disc_"&amp;$E126)</f>
        <v/>
      </c>
      <c r="S126">
        <f>IF(OR($E126="",$C126=""),"sve_kilaze","kg_"&amp;$E126&amp;"_"&amp;IF($C126="ženski","Z","M"))</f>
        <v/>
      </c>
    </row>
    <row r="127" spans="1:19">
      <c r="A127" s="5"/>
      <c r="B127" s="5"/>
      <c r="C127" s="5"/>
      <c r="D127" s="5"/>
      <c r="E127" s="7">
        <f>IF($A127="","",LOOKUP($A127,INDEX(grupe,0,1),INDEX(grupe,0,2)))</f>
        <v/>
      </c>
      <c r="F127" s="7">
        <f>IF($E127="","",VLOOKUP($E127,INDEX(grupe,0,2):INDEX(grupe,0,3),2,FALSE))</f>
        <v/>
      </c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8">
        <f>IF(COUNTA($A127:$D127,G127:N127,P127)=0,"",IF($A127="","Nedostaje godište",IF($E127="","Godište nije obuhvaćeno uzrasnom tabelom",IF($B127="","Nedostaje ime i prezime",IF(NOT(SUMPRODUCT(--ISERROR(FIND(MID($B127&amp;REPT("a",60),ROW($A$1:$A$60),1),"ABCDEFGHIJKLMNOPQRSTUVWXYZabcdefghijklmnopqrstuvwxyzČĆĐŠŽčćđšž -'")))=0),"Ime sadrži znakove koji nisu slova",IF($C127="","Nedostaje pol",IF($D127="","Nedostaje pojas",IF(COUNTA(G127:N127)=0,"Nije izabrana nijedna disciplina",IF(SUMPRODUCT(--(G127:N127&lt;&gt;""),--(COUNTIF(INDIRECT("disc_"&amp;$E127),G127:N127)=0))&gt;0,"Izabrana disciplina nije moguća za uzrast "&amp;$E127,IF(AND(COUNTIF(G127:N127,"Fudokan sport kumite")&gt;0,O127=""),"Nedostaje telesna težina za Fudokan sport kumite",IF(AND(COUNTIF(G127:N127,"Fudokan sport kumite")=0,O127&lt;&gt;""),"Telesna težina se unosi isključivo uz Fudokan sport kumite",IF(AND(P127&lt;&gt;"",NOT(IFERROR(AND(UPPER(LEFT(P127,4))="FSS-",MID(P127,LEN(P127)-2,1)="/",ISNUMBER(VALUE(RIGHT(P127,2))),VALUE(MID(P127,5,LEN(P127)-7))&gt;=1,VALUE(MID(P127,5,LEN(P127)-7))=INT(VALUE(MID(P127,5,LEN(P127)-7)))),FALSE))),"FSS ID se upisuje u obliku FSS-12/26","prijava je kompletna"))))))))))))</f>
        <v/>
      </c>
      <c r="R127">
        <f>IF($E127="","sve_discipline","disc_"&amp;$E127)</f>
        <v/>
      </c>
      <c r="S127">
        <f>IF(OR($E127="",$C127=""),"sve_kilaze","kg_"&amp;$E127&amp;"_"&amp;IF($C127="ženski","Z","M"))</f>
        <v/>
      </c>
    </row>
    <row r="128" spans="1:19">
      <c r="A128" s="5"/>
      <c r="B128" s="5"/>
      <c r="C128" s="5"/>
      <c r="D128" s="5"/>
      <c r="E128" s="7">
        <f>IF($A128="","",LOOKUP($A128,INDEX(grupe,0,1),INDEX(grupe,0,2)))</f>
        <v/>
      </c>
      <c r="F128" s="7">
        <f>IF($E128="","",VLOOKUP($E128,INDEX(grupe,0,2):INDEX(grupe,0,3),2,FALSE))</f>
        <v/>
      </c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8">
        <f>IF(COUNTA($A128:$D128,G128:N128,P128)=0,"",IF($A128="","Nedostaje godište",IF($E128="","Godište nije obuhvaćeno uzrasnom tabelom",IF($B128="","Nedostaje ime i prezime",IF(NOT(SUMPRODUCT(--ISERROR(FIND(MID($B128&amp;REPT("a",60),ROW($A$1:$A$60),1),"ABCDEFGHIJKLMNOPQRSTUVWXYZabcdefghijklmnopqrstuvwxyzČĆĐŠŽčćđšž -'")))=0),"Ime sadrži znakove koji nisu slova",IF($C128="","Nedostaje pol",IF($D128="","Nedostaje pojas",IF(COUNTA(G128:N128)=0,"Nije izabrana nijedna disciplina",IF(SUMPRODUCT(--(G128:N128&lt;&gt;""),--(COUNTIF(INDIRECT("disc_"&amp;$E128),G128:N128)=0))&gt;0,"Izabrana disciplina nije moguća za uzrast "&amp;$E128,IF(AND(COUNTIF(G128:N128,"Fudokan sport kumite")&gt;0,O128=""),"Nedostaje telesna težina za Fudokan sport kumite",IF(AND(COUNTIF(G128:N128,"Fudokan sport kumite")=0,O128&lt;&gt;""),"Telesna težina se unosi isključivo uz Fudokan sport kumite",IF(AND(P128&lt;&gt;"",NOT(IFERROR(AND(UPPER(LEFT(P128,4))="FSS-",MID(P128,LEN(P128)-2,1)="/",ISNUMBER(VALUE(RIGHT(P128,2))),VALUE(MID(P128,5,LEN(P128)-7))&gt;=1,VALUE(MID(P128,5,LEN(P128)-7))=INT(VALUE(MID(P128,5,LEN(P128)-7)))),FALSE))),"FSS ID se upisuje u obliku FSS-12/26","prijava je kompletna"))))))))))))</f>
        <v/>
      </c>
      <c r="R128">
        <f>IF($E128="","sve_discipline","disc_"&amp;$E128)</f>
        <v/>
      </c>
      <c r="S128">
        <f>IF(OR($E128="",$C128=""),"sve_kilaze","kg_"&amp;$E128&amp;"_"&amp;IF($C128="ženski","Z","M"))</f>
        <v/>
      </c>
    </row>
    <row r="129" spans="1:19">
      <c r="A129" s="5"/>
      <c r="B129" s="5"/>
      <c r="C129" s="5"/>
      <c r="D129" s="5"/>
      <c r="E129" s="7">
        <f>IF($A129="","",LOOKUP($A129,INDEX(grupe,0,1),INDEX(grupe,0,2)))</f>
        <v/>
      </c>
      <c r="F129" s="7">
        <f>IF($E129="","",VLOOKUP($E129,INDEX(grupe,0,2):INDEX(grupe,0,3),2,FALSE))</f>
        <v/>
      </c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8">
        <f>IF(COUNTA($A129:$D129,G129:N129,P129)=0,"",IF($A129="","Nedostaje godište",IF($E129="","Godište nije obuhvaćeno uzrasnom tabelom",IF($B129="","Nedostaje ime i prezime",IF(NOT(SUMPRODUCT(--ISERROR(FIND(MID($B129&amp;REPT("a",60),ROW($A$1:$A$60),1),"ABCDEFGHIJKLMNOPQRSTUVWXYZabcdefghijklmnopqrstuvwxyzČĆĐŠŽčćđšž -'")))=0),"Ime sadrži znakove koji nisu slova",IF($C129="","Nedostaje pol",IF($D129="","Nedostaje pojas",IF(COUNTA(G129:N129)=0,"Nije izabrana nijedna disciplina",IF(SUMPRODUCT(--(G129:N129&lt;&gt;""),--(COUNTIF(INDIRECT("disc_"&amp;$E129),G129:N129)=0))&gt;0,"Izabrana disciplina nije moguća za uzrast "&amp;$E129,IF(AND(COUNTIF(G129:N129,"Fudokan sport kumite")&gt;0,O129=""),"Nedostaje telesna težina za Fudokan sport kumite",IF(AND(COUNTIF(G129:N129,"Fudokan sport kumite")=0,O129&lt;&gt;""),"Telesna težina se unosi isključivo uz Fudokan sport kumite",IF(AND(P129&lt;&gt;"",NOT(IFERROR(AND(UPPER(LEFT(P129,4))="FSS-",MID(P129,LEN(P129)-2,1)="/",ISNUMBER(VALUE(RIGHT(P129,2))),VALUE(MID(P129,5,LEN(P129)-7))&gt;=1,VALUE(MID(P129,5,LEN(P129)-7))=INT(VALUE(MID(P129,5,LEN(P129)-7)))),FALSE))),"FSS ID se upisuje u obliku FSS-12/26","prijava je kompletna"))))))))))))</f>
        <v/>
      </c>
      <c r="R129">
        <f>IF($E129="","sve_discipline","disc_"&amp;$E129)</f>
        <v/>
      </c>
      <c r="S129">
        <f>IF(OR($E129="",$C129=""),"sve_kilaze","kg_"&amp;$E129&amp;"_"&amp;IF($C129="ženski","Z","M"))</f>
        <v/>
      </c>
    </row>
    <row r="130" spans="1:19">
      <c r="A130" s="5"/>
      <c r="B130" s="5"/>
      <c r="C130" s="5"/>
      <c r="D130" s="5"/>
      <c r="E130" s="7">
        <f>IF($A130="","",LOOKUP($A130,INDEX(grupe,0,1),INDEX(grupe,0,2)))</f>
        <v/>
      </c>
      <c r="F130" s="7">
        <f>IF($E130="","",VLOOKUP($E130,INDEX(grupe,0,2):INDEX(grupe,0,3),2,FALSE))</f>
        <v/>
      </c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8">
        <f>IF(COUNTA($A130:$D130,G130:N130,P130)=0,"",IF($A130="","Nedostaje godište",IF($E130="","Godište nije obuhvaćeno uzrasnom tabelom",IF($B130="","Nedostaje ime i prezime",IF(NOT(SUMPRODUCT(--ISERROR(FIND(MID($B130&amp;REPT("a",60),ROW($A$1:$A$60),1),"ABCDEFGHIJKLMNOPQRSTUVWXYZabcdefghijklmnopqrstuvwxyzČĆĐŠŽčćđšž -'")))=0),"Ime sadrži znakove koji nisu slova",IF($C130="","Nedostaje pol",IF($D130="","Nedostaje pojas",IF(COUNTA(G130:N130)=0,"Nije izabrana nijedna disciplina",IF(SUMPRODUCT(--(G130:N130&lt;&gt;""),--(COUNTIF(INDIRECT("disc_"&amp;$E130),G130:N130)=0))&gt;0,"Izabrana disciplina nije moguća za uzrast "&amp;$E130,IF(AND(COUNTIF(G130:N130,"Fudokan sport kumite")&gt;0,O130=""),"Nedostaje telesna težina za Fudokan sport kumite",IF(AND(COUNTIF(G130:N130,"Fudokan sport kumite")=0,O130&lt;&gt;""),"Telesna težina se unosi isključivo uz Fudokan sport kumite",IF(AND(P130&lt;&gt;"",NOT(IFERROR(AND(UPPER(LEFT(P130,4))="FSS-",MID(P130,LEN(P130)-2,1)="/",ISNUMBER(VALUE(RIGHT(P130,2))),VALUE(MID(P130,5,LEN(P130)-7))&gt;=1,VALUE(MID(P130,5,LEN(P130)-7))=INT(VALUE(MID(P130,5,LEN(P130)-7)))),FALSE))),"FSS ID se upisuje u obliku FSS-12/26","prijava je kompletna"))))))))))))</f>
        <v/>
      </c>
      <c r="R130">
        <f>IF($E130="","sve_discipline","disc_"&amp;$E130)</f>
        <v/>
      </c>
      <c r="S130">
        <f>IF(OR($E130="",$C130=""),"sve_kilaze","kg_"&amp;$E130&amp;"_"&amp;IF($C130="ženski","Z","M"))</f>
        <v/>
      </c>
    </row>
  </sheetData>
  <sheetProtection sheet="1" objects="1" scenarios="1" formatColumns="0" formatRows="0"/>
  <mergeCells count="1">
    <mergeCell ref="A3:Q3"/>
  </mergeCells>
  <dataValidations count="6">
    <dataValidation type="list" allowBlank="1" showInputMessage="1" showErrorMessage="1" errorTitle="Godište" error="Godište se bira iz padajućeg menija." sqref="A11:A130">
      <formula1>godista</formula1>
    </dataValidation>
    <dataValidation type="list" allowBlank="1" showInputMessage="1" showErrorMessage="1" errorTitle="Pol" error="Pol se bira iz padajućeg menija." sqref="C11:C130">
      <formula1>polovi</formula1>
    </dataValidation>
    <dataValidation type="list" allowBlank="1" showInputMessage="1" showErrorMessage="1" errorTitle="Pojas" error="Pojas se bira iz padajućeg menija." sqref="D11:D130">
      <formula1>pojasevi</formula1>
    </dataValidation>
    <dataValidation type="list" allowBlank="1" showInputMessage="1" showErrorMessage="1" errorTitle="Disciplina" error="Godište se unosi pre discipline. Padajući meni nudi discipline koje su moguće u odnosu na uzrast." sqref="G11:N130">
      <formula1>INDIRECT($R11)</formula1>
    </dataValidation>
    <dataValidation type="list" allowBlank="1" showInputMessage="1" showErrorMessage="1" errorTitle="Telesna težina" error="Godište i pol unose se pre telesne težine. Telesna težina unosi se isključivo uz Fudokan sport kumite, budući da je tradicionalni kumite apsolutna kategorija." sqref="O11:O130">
      <formula1>INDIRECT($S11)</formula1>
    </dataValidation>
    <dataValidation type="custom" allowBlank="1" showInputMessage="1" showErrorMessage="1" errorTitle="Ime i prezime" error="Polje prima isključivo slova, razmak, crticu i apostrof; cifre nisu dozvoljene." sqref="B11:B130">
      <formula1>AND(ISERROR(FIND("0",B11)),ISERROR(FIND("1",B11)),ISERROR(FIND("2",B11)),ISERROR(FIND("3",B11)),ISERROR(FIND("4",B11)),ISERROR(FIND("5",B11)),ISERROR(FIND("6",B11)),ISERROR(FIND("7",B11)),ISERROR(FIND("8",B11)),ISERROR(FIND("9",B11)))</formula1>
    </dataValidation>
  </dataValidation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R129"/>
  <sheetViews>
    <sheetView workbookViewId="0">
      <pane ySplit="9" topLeftCell="A10" activePane="bottomLeft" state="frozen"/>
      <selection pane="bottomLeft"/>
    </sheetView>
  </sheetViews>
  <sheetFormatPr defaultRowHeight="15"/>
  <cols>
    <col min="1" max="1" width="24.7109375" customWidth="1"/>
    <col min="2" max="2" width="16.7109375" customWidth="1"/>
    <col min="3" max="3" width="8.7109375" customWidth="1"/>
    <col min="4" max="4" width="15.7109375" customWidth="1"/>
    <col min="5" max="5" width="11.7109375" customWidth="1"/>
    <col min="6" max="6" width="24.7109375" customWidth="1"/>
    <col min="7" max="7" width="10.7109375" customWidth="1"/>
    <col min="8" max="8" width="11.7109375" customWidth="1"/>
    <col min="9" max="9" width="24.7109375" customWidth="1"/>
    <col min="10" max="10" width="10.7109375" customWidth="1"/>
    <col min="11" max="11" width="11.7109375" customWidth="1"/>
    <col min="12" max="12" width="24.7109375" customWidth="1"/>
    <col min="13" max="13" width="10.7109375" customWidth="1"/>
    <col min="14" max="14" width="11.7109375" customWidth="1"/>
    <col min="15" max="15" width="24.7109375" customWidth="1"/>
    <col min="16" max="16" width="10.7109375" customWidth="1"/>
    <col min="17" max="17" width="36.7109375" customWidth="1"/>
    <col min="18" max="18" width="14.7109375" hidden="1" customWidth="1"/>
  </cols>
  <sheetData>
    <row r="1" spans="1:18">
      <c r="A1" s="1" t="s">
        <v>26</v>
      </c>
    </row>
    <row r="2" spans="1:18">
      <c r="A2" s="2" t="s">
        <v>27</v>
      </c>
    </row>
    <row r="3" spans="1:18" ht="28" customHeight="1">
      <c r="A3" s="3" t="s">
        <v>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18">
      <c r="A4" s="4" t="s">
        <v>3</v>
      </c>
      <c r="B4" s="7">
        <f>Prijava!B4</f>
        <v/>
      </c>
      <c r="D4" s="2" t="s">
        <v>29</v>
      </c>
    </row>
    <row r="5" spans="1:18">
      <c r="A5" s="4" t="s">
        <v>5</v>
      </c>
      <c r="B5" s="7">
        <f>Prijava!B5</f>
        <v/>
      </c>
    </row>
    <row r="6" spans="1:18">
      <c r="A6" s="4" t="s">
        <v>6</v>
      </c>
      <c r="B6" s="7">
        <f>Prijava!B6</f>
        <v/>
      </c>
    </row>
    <row r="9" spans="1:18" ht="30" customHeight="1">
      <c r="A9" s="6" t="s">
        <v>30</v>
      </c>
      <c r="B9" s="6" t="s">
        <v>31</v>
      </c>
      <c r="C9" s="6" t="s">
        <v>13</v>
      </c>
      <c r="D9" s="6" t="s">
        <v>14</v>
      </c>
      <c r="E9" s="6" t="s">
        <v>32</v>
      </c>
      <c r="F9" s="6" t="s">
        <v>33</v>
      </c>
      <c r="G9" s="6" t="s">
        <v>34</v>
      </c>
      <c r="H9" s="6" t="s">
        <v>35</v>
      </c>
      <c r="I9" s="6" t="s">
        <v>36</v>
      </c>
      <c r="J9" s="6" t="s">
        <v>37</v>
      </c>
      <c r="K9" s="6" t="s">
        <v>38</v>
      </c>
      <c r="L9" s="6" t="s">
        <v>39</v>
      </c>
      <c r="M9" s="6" t="s">
        <v>40</v>
      </c>
      <c r="N9" s="6" t="s">
        <v>41</v>
      </c>
      <c r="O9" s="6" t="s">
        <v>42</v>
      </c>
      <c r="P9" s="6" t="s">
        <v>43</v>
      </c>
      <c r="Q9" s="6" t="s">
        <v>25</v>
      </c>
    </row>
    <row r="10" spans="1:18">
      <c r="A10" s="5"/>
      <c r="B10" s="5"/>
      <c r="C10" s="7">
        <f>IF($E10="","",LOOKUP($E10,INDEX(grupe,0,1),INDEX(grupe,0,2)))</f>
        <v/>
      </c>
      <c r="D10" s="7">
        <f>IF($C10="","",VLOOKUP($C10,INDEX(grupe,0,2):INDEX(grupe,0,3),2,FALSE))</f>
        <v/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8">
        <f>IF(COUNTA($A10:$B10,$E10,$H10,$K10,$N10,$F10,$I10,$L10,$O10)=0,"",IF($A10="","Nedostaje disciplina",IF($E10="","Nedostaje godište prvog člana",IF($C10="","Godište nije obuhvaćeno uzrasnom tabelom",IF(COUNTIF(INDIRECT("tdisc_"&amp;$C10),$A10)=0,"Disciplina nije moguća za uzrast "&amp;$C10,IF(IF($E10="",0,IF(LOOKUP($E10,INDEX(grupe,0,1),INDEX(grupe,0,2))=$C10,0,1))+IF($H10="",0,IF(LOOKUP($H10,INDEX(grupe,0,1),INDEX(grupe,0,2))=$C10,0,1))+IF($K10="",0,IF(LOOKUP($K10,INDEX(grupe,0,1),INDEX(grupe,0,2))=$C10,0,1))+IF($N10="",0,IF(LOOKUP($N10,INDEX(grupe,0,1),INDEX(grupe,0,2))=$C10,0,1))&gt;0,"Članovi ekipe nisu iz iste uzrasne grupe",IF(COUNTA($F10,$I10,$L10,$O10)&lt;&gt;COUNTA($E10,$H10,$K10,$N10),"Za svakog člana potrebni su i godište i ime",IF(IF(SUMPRODUCT(--ISERROR(FIND(MID($F10&amp;REPT("a",60),ROW($A$1:$A$60),1),"ABCDEFGHIJKLMNOPQRSTUVWXYZabcdefghijklmnopqrstuvwxyzČĆĐŠŽčćđšž -'")))=0,0,1)+IF(SUMPRODUCT(--ISERROR(FIND(MID($I10&amp;REPT("a",60),ROW($A$1:$A$60),1),"ABCDEFGHIJKLMNOPQRSTUVWXYZabcdefghijklmnopqrstuvwxyzČĆĐŠŽčćđšž -'")))=0,0,1)+IF(SUMPRODUCT(--ISERROR(FIND(MID($L10&amp;REPT("a",60),ROW($A$1:$A$60),1),"ABCDEFGHIJKLMNOPQRSTUVWXYZabcdefghijklmnopqrstuvwxyzČĆĐŠŽčćđšž -'")))=0,0,1)+IF(SUMPRODUCT(--ISERROR(FIND(MID($O10&amp;REPT("a",60),ROW($A$1:$A$60),1),"ABCDEFGHIJKLMNOPQRSTUVWXYZabcdefghijklmnopqrstuvwxyzČĆĐŠŽčćđšž -'")))=0,0,1)&gt;0,"Ime sadrži znakove koji nisu slova",IF(COUNTA($G10,$J10,$M10,$P10)&lt;&gt;COUNTA($F10,$I10,$L10,$O10),"Nedostaje pol za nekog od članova",IF(COUNTA($F10,$I10,$L10,$O10)&lt;VLOOKUP($A10,ekipe,2,FALSE),"Ekipa mora imati najmanje "&amp;VLOOKUP($A10,ekipe,2,FALSE)&amp;" člana",IF(COUNTA($F10,$I10,$L10,$O10)&gt;VLOOKUP($A10,ekipe,3,FALSE),"Ekipa može imati najviše "&amp;VLOOKUP($A10,ekipe,3,FALSE)&amp;" člana",IF($B10="","Nedostaje vrsta ekipe","prijava je kompletna")))))))))))</f>
        <v/>
      </c>
      <c r="R10">
        <f>IF($C10="","sve_ekipne","tdisc_"&amp;$C10)</f>
        <v/>
      </c>
    </row>
    <row r="11" spans="1:18">
      <c r="A11" s="5"/>
      <c r="B11" s="5"/>
      <c r="C11" s="7">
        <f>IF($E11="","",LOOKUP($E11,INDEX(grupe,0,1),INDEX(grupe,0,2)))</f>
        <v/>
      </c>
      <c r="D11" s="7">
        <f>IF($C11="","",VLOOKUP($C11,INDEX(grupe,0,2):INDEX(grupe,0,3),2,FALSE))</f>
        <v/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8">
        <f>IF(COUNTA($A11:$B11,$E11,$H11,$K11,$N11,$F11,$I11,$L11,$O11)=0,"",IF($A11="","Nedostaje disciplina",IF($E11="","Nedostaje godište prvog člana",IF($C11="","Godište nije obuhvaćeno uzrasnom tabelom",IF(COUNTIF(INDIRECT("tdisc_"&amp;$C11),$A11)=0,"Disciplina nije moguća za uzrast "&amp;$C11,IF(IF($E11="",0,IF(LOOKUP($E11,INDEX(grupe,0,1),INDEX(grupe,0,2))=$C11,0,1))+IF($H11="",0,IF(LOOKUP($H11,INDEX(grupe,0,1),INDEX(grupe,0,2))=$C11,0,1))+IF($K11="",0,IF(LOOKUP($K11,INDEX(grupe,0,1),INDEX(grupe,0,2))=$C11,0,1))+IF($N11="",0,IF(LOOKUP($N11,INDEX(grupe,0,1),INDEX(grupe,0,2))=$C11,0,1))&gt;0,"Članovi ekipe nisu iz iste uzrasne grupe",IF(COUNTA($F11,$I11,$L11,$O11)&lt;&gt;COUNTA($E11,$H11,$K11,$N11),"Za svakog člana potrebni su i godište i ime",IF(IF(SUMPRODUCT(--ISERROR(FIND(MID($F11&amp;REPT("a",60),ROW($A$1:$A$60),1),"ABCDEFGHIJKLMNOPQRSTUVWXYZabcdefghijklmnopqrstuvwxyzČĆĐŠŽčćđšž -'")))=0,0,1)+IF(SUMPRODUCT(--ISERROR(FIND(MID($I11&amp;REPT("a",60),ROW($A$1:$A$60),1),"ABCDEFGHIJKLMNOPQRSTUVWXYZabcdefghijklmnopqrstuvwxyzČĆĐŠŽčćđšž -'")))=0,0,1)+IF(SUMPRODUCT(--ISERROR(FIND(MID($L11&amp;REPT("a",60),ROW($A$1:$A$60),1),"ABCDEFGHIJKLMNOPQRSTUVWXYZabcdefghijklmnopqrstuvwxyzČĆĐŠŽčćđšž -'")))=0,0,1)+IF(SUMPRODUCT(--ISERROR(FIND(MID($O11&amp;REPT("a",60),ROW($A$1:$A$60),1),"ABCDEFGHIJKLMNOPQRSTUVWXYZabcdefghijklmnopqrstuvwxyzČĆĐŠŽčćđšž -'")))=0,0,1)&gt;0,"Ime sadrži znakove koji nisu slova",IF(COUNTA($G11,$J11,$M11,$P11)&lt;&gt;COUNTA($F11,$I11,$L11,$O11),"Nedostaje pol za nekog od članova",IF(COUNTA($F11,$I11,$L11,$O11)&lt;VLOOKUP($A11,ekipe,2,FALSE),"Ekipa mora imati najmanje "&amp;VLOOKUP($A11,ekipe,2,FALSE)&amp;" člana",IF(COUNTA($F11,$I11,$L11,$O11)&gt;VLOOKUP($A11,ekipe,3,FALSE),"Ekipa može imati najviše "&amp;VLOOKUP($A11,ekipe,3,FALSE)&amp;" člana",IF($B11="","Nedostaje vrsta ekipe","prijava je kompletna")))))))))))</f>
        <v/>
      </c>
      <c r="R11">
        <f>IF($C11="","sve_ekipne","tdisc_"&amp;$C11)</f>
        <v/>
      </c>
    </row>
    <row r="12" spans="1:18">
      <c r="A12" s="5"/>
      <c r="B12" s="5"/>
      <c r="C12" s="7">
        <f>IF($E12="","",LOOKUP($E12,INDEX(grupe,0,1),INDEX(grupe,0,2)))</f>
        <v/>
      </c>
      <c r="D12" s="7">
        <f>IF($C12="","",VLOOKUP($C12,INDEX(grupe,0,2):INDEX(grupe,0,3),2,FALSE))</f>
        <v/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8">
        <f>IF(COUNTA($A12:$B12,$E12,$H12,$K12,$N12,$F12,$I12,$L12,$O12)=0,"",IF($A12="","Nedostaje disciplina",IF($E12="","Nedostaje godište prvog člana",IF($C12="","Godište nije obuhvaćeno uzrasnom tabelom",IF(COUNTIF(INDIRECT("tdisc_"&amp;$C12),$A12)=0,"Disciplina nije moguća za uzrast "&amp;$C12,IF(IF($E12="",0,IF(LOOKUP($E12,INDEX(grupe,0,1),INDEX(grupe,0,2))=$C12,0,1))+IF($H12="",0,IF(LOOKUP($H12,INDEX(grupe,0,1),INDEX(grupe,0,2))=$C12,0,1))+IF($K12="",0,IF(LOOKUP($K12,INDEX(grupe,0,1),INDEX(grupe,0,2))=$C12,0,1))+IF($N12="",0,IF(LOOKUP($N12,INDEX(grupe,0,1),INDEX(grupe,0,2))=$C12,0,1))&gt;0,"Članovi ekipe nisu iz iste uzrasne grupe",IF(COUNTA($F12,$I12,$L12,$O12)&lt;&gt;COUNTA($E12,$H12,$K12,$N12),"Za svakog člana potrebni su i godište i ime",IF(IF(SUMPRODUCT(--ISERROR(FIND(MID($F12&amp;REPT("a",60),ROW($A$1:$A$60),1),"ABCDEFGHIJKLMNOPQRSTUVWXYZabcdefghijklmnopqrstuvwxyzČĆĐŠŽčćđšž -'")))=0,0,1)+IF(SUMPRODUCT(--ISERROR(FIND(MID($I12&amp;REPT("a",60),ROW($A$1:$A$60),1),"ABCDEFGHIJKLMNOPQRSTUVWXYZabcdefghijklmnopqrstuvwxyzČĆĐŠŽčćđšž -'")))=0,0,1)+IF(SUMPRODUCT(--ISERROR(FIND(MID($L12&amp;REPT("a",60),ROW($A$1:$A$60),1),"ABCDEFGHIJKLMNOPQRSTUVWXYZabcdefghijklmnopqrstuvwxyzČĆĐŠŽčćđšž -'")))=0,0,1)+IF(SUMPRODUCT(--ISERROR(FIND(MID($O12&amp;REPT("a",60),ROW($A$1:$A$60),1),"ABCDEFGHIJKLMNOPQRSTUVWXYZabcdefghijklmnopqrstuvwxyzČĆĐŠŽčćđšž -'")))=0,0,1)&gt;0,"Ime sadrži znakove koji nisu slova",IF(COUNTA($G12,$J12,$M12,$P12)&lt;&gt;COUNTA($F12,$I12,$L12,$O12),"Nedostaje pol za nekog od članova",IF(COUNTA($F12,$I12,$L12,$O12)&lt;VLOOKUP($A12,ekipe,2,FALSE),"Ekipa mora imati najmanje "&amp;VLOOKUP($A12,ekipe,2,FALSE)&amp;" člana",IF(COUNTA($F12,$I12,$L12,$O12)&gt;VLOOKUP($A12,ekipe,3,FALSE),"Ekipa može imati najviše "&amp;VLOOKUP($A12,ekipe,3,FALSE)&amp;" člana",IF($B12="","Nedostaje vrsta ekipe","prijava je kompletna")))))))))))</f>
        <v/>
      </c>
      <c r="R12">
        <f>IF($C12="","sve_ekipne","tdisc_"&amp;$C12)</f>
        <v/>
      </c>
    </row>
    <row r="13" spans="1:18">
      <c r="A13" s="5"/>
      <c r="B13" s="5"/>
      <c r="C13" s="7">
        <f>IF($E13="","",LOOKUP($E13,INDEX(grupe,0,1),INDEX(grupe,0,2)))</f>
        <v/>
      </c>
      <c r="D13" s="7">
        <f>IF($C13="","",VLOOKUP($C13,INDEX(grupe,0,2):INDEX(grupe,0,3),2,FALSE))</f>
        <v/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8">
        <f>IF(COUNTA($A13:$B13,$E13,$H13,$K13,$N13,$F13,$I13,$L13,$O13)=0,"",IF($A13="","Nedostaje disciplina",IF($E13="","Nedostaje godište prvog člana",IF($C13="","Godište nije obuhvaćeno uzrasnom tabelom",IF(COUNTIF(INDIRECT("tdisc_"&amp;$C13),$A13)=0,"Disciplina nije moguća za uzrast "&amp;$C13,IF(IF($E13="",0,IF(LOOKUP($E13,INDEX(grupe,0,1),INDEX(grupe,0,2))=$C13,0,1))+IF($H13="",0,IF(LOOKUP($H13,INDEX(grupe,0,1),INDEX(grupe,0,2))=$C13,0,1))+IF($K13="",0,IF(LOOKUP($K13,INDEX(grupe,0,1),INDEX(grupe,0,2))=$C13,0,1))+IF($N13="",0,IF(LOOKUP($N13,INDEX(grupe,0,1),INDEX(grupe,0,2))=$C13,0,1))&gt;0,"Članovi ekipe nisu iz iste uzrasne grupe",IF(COUNTA($F13,$I13,$L13,$O13)&lt;&gt;COUNTA($E13,$H13,$K13,$N13),"Za svakog člana potrebni su i godište i ime",IF(IF(SUMPRODUCT(--ISERROR(FIND(MID($F13&amp;REPT("a",60),ROW($A$1:$A$60),1),"ABCDEFGHIJKLMNOPQRSTUVWXYZabcdefghijklmnopqrstuvwxyzČĆĐŠŽčćđšž -'")))=0,0,1)+IF(SUMPRODUCT(--ISERROR(FIND(MID($I13&amp;REPT("a",60),ROW($A$1:$A$60),1),"ABCDEFGHIJKLMNOPQRSTUVWXYZabcdefghijklmnopqrstuvwxyzČĆĐŠŽčćđšž -'")))=0,0,1)+IF(SUMPRODUCT(--ISERROR(FIND(MID($L13&amp;REPT("a",60),ROW($A$1:$A$60),1),"ABCDEFGHIJKLMNOPQRSTUVWXYZabcdefghijklmnopqrstuvwxyzČĆĐŠŽčćđšž -'")))=0,0,1)+IF(SUMPRODUCT(--ISERROR(FIND(MID($O13&amp;REPT("a",60),ROW($A$1:$A$60),1),"ABCDEFGHIJKLMNOPQRSTUVWXYZabcdefghijklmnopqrstuvwxyzČĆĐŠŽčćđšž -'")))=0,0,1)&gt;0,"Ime sadrži znakove koji nisu slova",IF(COUNTA($G13,$J13,$M13,$P13)&lt;&gt;COUNTA($F13,$I13,$L13,$O13),"Nedostaje pol za nekog od članova",IF(COUNTA($F13,$I13,$L13,$O13)&lt;VLOOKUP($A13,ekipe,2,FALSE),"Ekipa mora imati najmanje "&amp;VLOOKUP($A13,ekipe,2,FALSE)&amp;" člana",IF(COUNTA($F13,$I13,$L13,$O13)&gt;VLOOKUP($A13,ekipe,3,FALSE),"Ekipa može imati najviše "&amp;VLOOKUP($A13,ekipe,3,FALSE)&amp;" člana",IF($B13="","Nedostaje vrsta ekipe","prijava je kompletna")))))))))))</f>
        <v/>
      </c>
      <c r="R13">
        <f>IF($C13="","sve_ekipne","tdisc_"&amp;$C13)</f>
        <v/>
      </c>
    </row>
    <row r="14" spans="1:18">
      <c r="A14" s="5"/>
      <c r="B14" s="5"/>
      <c r="C14" s="7">
        <f>IF($E14="","",LOOKUP($E14,INDEX(grupe,0,1),INDEX(grupe,0,2)))</f>
        <v/>
      </c>
      <c r="D14" s="7">
        <f>IF($C14="","",VLOOKUP($C14,INDEX(grupe,0,2):INDEX(grupe,0,3),2,FALSE))</f>
        <v/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8">
        <f>IF(COUNTA($A14:$B14,$E14,$H14,$K14,$N14,$F14,$I14,$L14,$O14)=0,"",IF($A14="","Nedostaje disciplina",IF($E14="","Nedostaje godište prvog člana",IF($C14="","Godište nije obuhvaćeno uzrasnom tabelom",IF(COUNTIF(INDIRECT("tdisc_"&amp;$C14),$A14)=0,"Disciplina nije moguća za uzrast "&amp;$C14,IF(IF($E14="",0,IF(LOOKUP($E14,INDEX(grupe,0,1),INDEX(grupe,0,2))=$C14,0,1))+IF($H14="",0,IF(LOOKUP($H14,INDEX(grupe,0,1),INDEX(grupe,0,2))=$C14,0,1))+IF($K14="",0,IF(LOOKUP($K14,INDEX(grupe,0,1),INDEX(grupe,0,2))=$C14,0,1))+IF($N14="",0,IF(LOOKUP($N14,INDEX(grupe,0,1),INDEX(grupe,0,2))=$C14,0,1))&gt;0,"Članovi ekipe nisu iz iste uzrasne grupe",IF(COUNTA($F14,$I14,$L14,$O14)&lt;&gt;COUNTA($E14,$H14,$K14,$N14),"Za svakog člana potrebni su i godište i ime",IF(IF(SUMPRODUCT(--ISERROR(FIND(MID($F14&amp;REPT("a",60),ROW($A$1:$A$60),1),"ABCDEFGHIJKLMNOPQRSTUVWXYZabcdefghijklmnopqrstuvwxyzČĆĐŠŽčćđšž -'")))=0,0,1)+IF(SUMPRODUCT(--ISERROR(FIND(MID($I14&amp;REPT("a",60),ROW($A$1:$A$60),1),"ABCDEFGHIJKLMNOPQRSTUVWXYZabcdefghijklmnopqrstuvwxyzČĆĐŠŽčćđšž -'")))=0,0,1)+IF(SUMPRODUCT(--ISERROR(FIND(MID($L14&amp;REPT("a",60),ROW($A$1:$A$60),1),"ABCDEFGHIJKLMNOPQRSTUVWXYZabcdefghijklmnopqrstuvwxyzČĆĐŠŽčćđšž -'")))=0,0,1)+IF(SUMPRODUCT(--ISERROR(FIND(MID($O14&amp;REPT("a",60),ROW($A$1:$A$60),1),"ABCDEFGHIJKLMNOPQRSTUVWXYZabcdefghijklmnopqrstuvwxyzČĆĐŠŽčćđšž -'")))=0,0,1)&gt;0,"Ime sadrži znakove koji nisu slova",IF(COUNTA($G14,$J14,$M14,$P14)&lt;&gt;COUNTA($F14,$I14,$L14,$O14),"Nedostaje pol za nekog od članova",IF(COUNTA($F14,$I14,$L14,$O14)&lt;VLOOKUP($A14,ekipe,2,FALSE),"Ekipa mora imati najmanje "&amp;VLOOKUP($A14,ekipe,2,FALSE)&amp;" člana",IF(COUNTA($F14,$I14,$L14,$O14)&gt;VLOOKUP($A14,ekipe,3,FALSE),"Ekipa može imati najviše "&amp;VLOOKUP($A14,ekipe,3,FALSE)&amp;" člana",IF($B14="","Nedostaje vrsta ekipe","prijava je kompletna")))))))))))</f>
        <v/>
      </c>
      <c r="R14">
        <f>IF($C14="","sve_ekipne","tdisc_"&amp;$C14)</f>
        <v/>
      </c>
    </row>
    <row r="15" spans="1:18">
      <c r="A15" s="5"/>
      <c r="B15" s="5"/>
      <c r="C15" s="7">
        <f>IF($E15="","",LOOKUP($E15,INDEX(grupe,0,1),INDEX(grupe,0,2)))</f>
        <v/>
      </c>
      <c r="D15" s="7">
        <f>IF($C15="","",VLOOKUP($C15,INDEX(grupe,0,2):INDEX(grupe,0,3),2,FALSE))</f>
        <v/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8">
        <f>IF(COUNTA($A15:$B15,$E15,$H15,$K15,$N15,$F15,$I15,$L15,$O15)=0,"",IF($A15="","Nedostaje disciplina",IF($E15="","Nedostaje godište prvog člana",IF($C15="","Godište nije obuhvaćeno uzrasnom tabelom",IF(COUNTIF(INDIRECT("tdisc_"&amp;$C15),$A15)=0,"Disciplina nije moguća za uzrast "&amp;$C15,IF(IF($E15="",0,IF(LOOKUP($E15,INDEX(grupe,0,1),INDEX(grupe,0,2))=$C15,0,1))+IF($H15="",0,IF(LOOKUP($H15,INDEX(grupe,0,1),INDEX(grupe,0,2))=$C15,0,1))+IF($K15="",0,IF(LOOKUP($K15,INDEX(grupe,0,1),INDEX(grupe,0,2))=$C15,0,1))+IF($N15="",0,IF(LOOKUP($N15,INDEX(grupe,0,1),INDEX(grupe,0,2))=$C15,0,1))&gt;0,"Članovi ekipe nisu iz iste uzrasne grupe",IF(COUNTA($F15,$I15,$L15,$O15)&lt;&gt;COUNTA($E15,$H15,$K15,$N15),"Za svakog člana potrebni su i godište i ime",IF(IF(SUMPRODUCT(--ISERROR(FIND(MID($F15&amp;REPT("a",60),ROW($A$1:$A$60),1),"ABCDEFGHIJKLMNOPQRSTUVWXYZabcdefghijklmnopqrstuvwxyzČĆĐŠŽčćđšž -'")))=0,0,1)+IF(SUMPRODUCT(--ISERROR(FIND(MID($I15&amp;REPT("a",60),ROW($A$1:$A$60),1),"ABCDEFGHIJKLMNOPQRSTUVWXYZabcdefghijklmnopqrstuvwxyzČĆĐŠŽčćđšž -'")))=0,0,1)+IF(SUMPRODUCT(--ISERROR(FIND(MID($L15&amp;REPT("a",60),ROW($A$1:$A$60),1),"ABCDEFGHIJKLMNOPQRSTUVWXYZabcdefghijklmnopqrstuvwxyzČĆĐŠŽčćđšž -'")))=0,0,1)+IF(SUMPRODUCT(--ISERROR(FIND(MID($O15&amp;REPT("a",60),ROW($A$1:$A$60),1),"ABCDEFGHIJKLMNOPQRSTUVWXYZabcdefghijklmnopqrstuvwxyzČĆĐŠŽčćđšž -'")))=0,0,1)&gt;0,"Ime sadrži znakove koji nisu slova",IF(COUNTA($G15,$J15,$M15,$P15)&lt;&gt;COUNTA($F15,$I15,$L15,$O15),"Nedostaje pol za nekog od članova",IF(COUNTA($F15,$I15,$L15,$O15)&lt;VLOOKUP($A15,ekipe,2,FALSE),"Ekipa mora imati najmanje "&amp;VLOOKUP($A15,ekipe,2,FALSE)&amp;" člana",IF(COUNTA($F15,$I15,$L15,$O15)&gt;VLOOKUP($A15,ekipe,3,FALSE),"Ekipa može imati najviše "&amp;VLOOKUP($A15,ekipe,3,FALSE)&amp;" člana",IF($B15="","Nedostaje vrsta ekipe","prijava je kompletna")))))))))))</f>
        <v/>
      </c>
      <c r="R15">
        <f>IF($C15="","sve_ekipne","tdisc_"&amp;$C15)</f>
        <v/>
      </c>
    </row>
    <row r="16" spans="1:18">
      <c r="A16" s="5"/>
      <c r="B16" s="5"/>
      <c r="C16" s="7">
        <f>IF($E16="","",LOOKUP($E16,INDEX(grupe,0,1),INDEX(grupe,0,2)))</f>
        <v/>
      </c>
      <c r="D16" s="7">
        <f>IF($C16="","",VLOOKUP($C16,INDEX(grupe,0,2):INDEX(grupe,0,3),2,FALSE))</f>
        <v/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8">
        <f>IF(COUNTA($A16:$B16,$E16,$H16,$K16,$N16,$F16,$I16,$L16,$O16)=0,"",IF($A16="","Nedostaje disciplina",IF($E16="","Nedostaje godište prvog člana",IF($C16="","Godište nije obuhvaćeno uzrasnom tabelom",IF(COUNTIF(INDIRECT("tdisc_"&amp;$C16),$A16)=0,"Disciplina nije moguća za uzrast "&amp;$C16,IF(IF($E16="",0,IF(LOOKUP($E16,INDEX(grupe,0,1),INDEX(grupe,0,2))=$C16,0,1))+IF($H16="",0,IF(LOOKUP($H16,INDEX(grupe,0,1),INDEX(grupe,0,2))=$C16,0,1))+IF($K16="",0,IF(LOOKUP($K16,INDEX(grupe,0,1),INDEX(grupe,0,2))=$C16,0,1))+IF($N16="",0,IF(LOOKUP($N16,INDEX(grupe,0,1),INDEX(grupe,0,2))=$C16,0,1))&gt;0,"Članovi ekipe nisu iz iste uzrasne grupe",IF(COUNTA($F16,$I16,$L16,$O16)&lt;&gt;COUNTA($E16,$H16,$K16,$N16),"Za svakog člana potrebni su i godište i ime",IF(IF(SUMPRODUCT(--ISERROR(FIND(MID($F16&amp;REPT("a",60),ROW($A$1:$A$60),1),"ABCDEFGHIJKLMNOPQRSTUVWXYZabcdefghijklmnopqrstuvwxyzČĆĐŠŽčćđšž -'")))=0,0,1)+IF(SUMPRODUCT(--ISERROR(FIND(MID($I16&amp;REPT("a",60),ROW($A$1:$A$60),1),"ABCDEFGHIJKLMNOPQRSTUVWXYZabcdefghijklmnopqrstuvwxyzČĆĐŠŽčćđšž -'")))=0,0,1)+IF(SUMPRODUCT(--ISERROR(FIND(MID($L16&amp;REPT("a",60),ROW($A$1:$A$60),1),"ABCDEFGHIJKLMNOPQRSTUVWXYZabcdefghijklmnopqrstuvwxyzČĆĐŠŽčćđšž -'")))=0,0,1)+IF(SUMPRODUCT(--ISERROR(FIND(MID($O16&amp;REPT("a",60),ROW($A$1:$A$60),1),"ABCDEFGHIJKLMNOPQRSTUVWXYZabcdefghijklmnopqrstuvwxyzČĆĐŠŽčćđšž -'")))=0,0,1)&gt;0,"Ime sadrži znakove koji nisu slova",IF(COUNTA($G16,$J16,$M16,$P16)&lt;&gt;COUNTA($F16,$I16,$L16,$O16),"Nedostaje pol za nekog od članova",IF(COUNTA($F16,$I16,$L16,$O16)&lt;VLOOKUP($A16,ekipe,2,FALSE),"Ekipa mora imati najmanje "&amp;VLOOKUP($A16,ekipe,2,FALSE)&amp;" člana",IF(COUNTA($F16,$I16,$L16,$O16)&gt;VLOOKUP($A16,ekipe,3,FALSE),"Ekipa može imati najviše "&amp;VLOOKUP($A16,ekipe,3,FALSE)&amp;" člana",IF($B16="","Nedostaje vrsta ekipe","prijava je kompletna")))))))))))</f>
        <v/>
      </c>
      <c r="R16">
        <f>IF($C16="","sve_ekipne","tdisc_"&amp;$C16)</f>
        <v/>
      </c>
    </row>
    <row r="17" spans="1:18">
      <c r="A17" s="5"/>
      <c r="B17" s="5"/>
      <c r="C17" s="7">
        <f>IF($E17="","",LOOKUP($E17,INDEX(grupe,0,1),INDEX(grupe,0,2)))</f>
        <v/>
      </c>
      <c r="D17" s="7">
        <f>IF($C17="","",VLOOKUP($C17,INDEX(grupe,0,2):INDEX(grupe,0,3),2,FALSE))</f>
        <v/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8">
        <f>IF(COUNTA($A17:$B17,$E17,$H17,$K17,$N17,$F17,$I17,$L17,$O17)=0,"",IF($A17="","Nedostaje disciplina",IF($E17="","Nedostaje godište prvog člana",IF($C17="","Godište nije obuhvaćeno uzrasnom tabelom",IF(COUNTIF(INDIRECT("tdisc_"&amp;$C17),$A17)=0,"Disciplina nije moguća za uzrast "&amp;$C17,IF(IF($E17="",0,IF(LOOKUP($E17,INDEX(grupe,0,1),INDEX(grupe,0,2))=$C17,0,1))+IF($H17="",0,IF(LOOKUP($H17,INDEX(grupe,0,1),INDEX(grupe,0,2))=$C17,0,1))+IF($K17="",0,IF(LOOKUP($K17,INDEX(grupe,0,1),INDEX(grupe,0,2))=$C17,0,1))+IF($N17="",0,IF(LOOKUP($N17,INDEX(grupe,0,1),INDEX(grupe,0,2))=$C17,0,1))&gt;0,"Članovi ekipe nisu iz iste uzrasne grupe",IF(COUNTA($F17,$I17,$L17,$O17)&lt;&gt;COUNTA($E17,$H17,$K17,$N17),"Za svakog člana potrebni su i godište i ime",IF(IF(SUMPRODUCT(--ISERROR(FIND(MID($F17&amp;REPT("a",60),ROW($A$1:$A$60),1),"ABCDEFGHIJKLMNOPQRSTUVWXYZabcdefghijklmnopqrstuvwxyzČĆĐŠŽčćđšž -'")))=0,0,1)+IF(SUMPRODUCT(--ISERROR(FIND(MID($I17&amp;REPT("a",60),ROW($A$1:$A$60),1),"ABCDEFGHIJKLMNOPQRSTUVWXYZabcdefghijklmnopqrstuvwxyzČĆĐŠŽčćđšž -'")))=0,0,1)+IF(SUMPRODUCT(--ISERROR(FIND(MID($L17&amp;REPT("a",60),ROW($A$1:$A$60),1),"ABCDEFGHIJKLMNOPQRSTUVWXYZabcdefghijklmnopqrstuvwxyzČĆĐŠŽčćđšž -'")))=0,0,1)+IF(SUMPRODUCT(--ISERROR(FIND(MID($O17&amp;REPT("a",60),ROW($A$1:$A$60),1),"ABCDEFGHIJKLMNOPQRSTUVWXYZabcdefghijklmnopqrstuvwxyzČĆĐŠŽčćđšž -'")))=0,0,1)&gt;0,"Ime sadrži znakove koji nisu slova",IF(COUNTA($G17,$J17,$M17,$P17)&lt;&gt;COUNTA($F17,$I17,$L17,$O17),"Nedostaje pol za nekog od članova",IF(COUNTA($F17,$I17,$L17,$O17)&lt;VLOOKUP($A17,ekipe,2,FALSE),"Ekipa mora imati najmanje "&amp;VLOOKUP($A17,ekipe,2,FALSE)&amp;" člana",IF(COUNTA($F17,$I17,$L17,$O17)&gt;VLOOKUP($A17,ekipe,3,FALSE),"Ekipa može imati najviše "&amp;VLOOKUP($A17,ekipe,3,FALSE)&amp;" člana",IF($B17="","Nedostaje vrsta ekipe","prijava je kompletna")))))))))))</f>
        <v/>
      </c>
      <c r="R17">
        <f>IF($C17="","sve_ekipne","tdisc_"&amp;$C17)</f>
        <v/>
      </c>
    </row>
    <row r="18" spans="1:18">
      <c r="A18" s="5"/>
      <c r="B18" s="5"/>
      <c r="C18" s="7">
        <f>IF($E18="","",LOOKUP($E18,INDEX(grupe,0,1),INDEX(grupe,0,2)))</f>
        <v/>
      </c>
      <c r="D18" s="7">
        <f>IF($C18="","",VLOOKUP($C18,INDEX(grupe,0,2):INDEX(grupe,0,3),2,FALSE))</f>
        <v/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8">
        <f>IF(COUNTA($A18:$B18,$E18,$H18,$K18,$N18,$F18,$I18,$L18,$O18)=0,"",IF($A18="","Nedostaje disciplina",IF($E18="","Nedostaje godište prvog člana",IF($C18="","Godište nije obuhvaćeno uzrasnom tabelom",IF(COUNTIF(INDIRECT("tdisc_"&amp;$C18),$A18)=0,"Disciplina nije moguća za uzrast "&amp;$C18,IF(IF($E18="",0,IF(LOOKUP($E18,INDEX(grupe,0,1),INDEX(grupe,0,2))=$C18,0,1))+IF($H18="",0,IF(LOOKUP($H18,INDEX(grupe,0,1),INDEX(grupe,0,2))=$C18,0,1))+IF($K18="",0,IF(LOOKUP($K18,INDEX(grupe,0,1),INDEX(grupe,0,2))=$C18,0,1))+IF($N18="",0,IF(LOOKUP($N18,INDEX(grupe,0,1),INDEX(grupe,0,2))=$C18,0,1))&gt;0,"Članovi ekipe nisu iz iste uzrasne grupe",IF(COUNTA($F18,$I18,$L18,$O18)&lt;&gt;COUNTA($E18,$H18,$K18,$N18),"Za svakog člana potrebni su i godište i ime",IF(IF(SUMPRODUCT(--ISERROR(FIND(MID($F18&amp;REPT("a",60),ROW($A$1:$A$60),1),"ABCDEFGHIJKLMNOPQRSTUVWXYZabcdefghijklmnopqrstuvwxyzČĆĐŠŽčćđšž -'")))=0,0,1)+IF(SUMPRODUCT(--ISERROR(FIND(MID($I18&amp;REPT("a",60),ROW($A$1:$A$60),1),"ABCDEFGHIJKLMNOPQRSTUVWXYZabcdefghijklmnopqrstuvwxyzČĆĐŠŽčćđšž -'")))=0,0,1)+IF(SUMPRODUCT(--ISERROR(FIND(MID($L18&amp;REPT("a",60),ROW($A$1:$A$60),1),"ABCDEFGHIJKLMNOPQRSTUVWXYZabcdefghijklmnopqrstuvwxyzČĆĐŠŽčćđšž -'")))=0,0,1)+IF(SUMPRODUCT(--ISERROR(FIND(MID($O18&amp;REPT("a",60),ROW($A$1:$A$60),1),"ABCDEFGHIJKLMNOPQRSTUVWXYZabcdefghijklmnopqrstuvwxyzČĆĐŠŽčćđšž -'")))=0,0,1)&gt;0,"Ime sadrži znakove koji nisu slova",IF(COUNTA($G18,$J18,$M18,$P18)&lt;&gt;COUNTA($F18,$I18,$L18,$O18),"Nedostaje pol za nekog od članova",IF(COUNTA($F18,$I18,$L18,$O18)&lt;VLOOKUP($A18,ekipe,2,FALSE),"Ekipa mora imati najmanje "&amp;VLOOKUP($A18,ekipe,2,FALSE)&amp;" člana",IF(COUNTA($F18,$I18,$L18,$O18)&gt;VLOOKUP($A18,ekipe,3,FALSE),"Ekipa može imati najviše "&amp;VLOOKUP($A18,ekipe,3,FALSE)&amp;" člana",IF($B18="","Nedostaje vrsta ekipe","prijava je kompletna")))))))))))</f>
        <v/>
      </c>
      <c r="R18">
        <f>IF($C18="","sve_ekipne","tdisc_"&amp;$C18)</f>
        <v/>
      </c>
    </row>
    <row r="19" spans="1:18">
      <c r="A19" s="5"/>
      <c r="B19" s="5"/>
      <c r="C19" s="7">
        <f>IF($E19="","",LOOKUP($E19,INDEX(grupe,0,1),INDEX(grupe,0,2)))</f>
        <v/>
      </c>
      <c r="D19" s="7">
        <f>IF($C19="","",VLOOKUP($C19,INDEX(grupe,0,2):INDEX(grupe,0,3),2,FALSE))</f>
        <v/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8">
        <f>IF(COUNTA($A19:$B19,$E19,$H19,$K19,$N19,$F19,$I19,$L19,$O19)=0,"",IF($A19="","Nedostaje disciplina",IF($E19="","Nedostaje godište prvog člana",IF($C19="","Godište nije obuhvaćeno uzrasnom tabelom",IF(COUNTIF(INDIRECT("tdisc_"&amp;$C19),$A19)=0,"Disciplina nije moguća za uzrast "&amp;$C19,IF(IF($E19="",0,IF(LOOKUP($E19,INDEX(grupe,0,1),INDEX(grupe,0,2))=$C19,0,1))+IF($H19="",0,IF(LOOKUP($H19,INDEX(grupe,0,1),INDEX(grupe,0,2))=$C19,0,1))+IF($K19="",0,IF(LOOKUP($K19,INDEX(grupe,0,1),INDEX(grupe,0,2))=$C19,0,1))+IF($N19="",0,IF(LOOKUP($N19,INDEX(grupe,0,1),INDEX(grupe,0,2))=$C19,0,1))&gt;0,"Članovi ekipe nisu iz iste uzrasne grupe",IF(COUNTA($F19,$I19,$L19,$O19)&lt;&gt;COUNTA($E19,$H19,$K19,$N19),"Za svakog člana potrebni su i godište i ime",IF(IF(SUMPRODUCT(--ISERROR(FIND(MID($F19&amp;REPT("a",60),ROW($A$1:$A$60),1),"ABCDEFGHIJKLMNOPQRSTUVWXYZabcdefghijklmnopqrstuvwxyzČĆĐŠŽčćđšž -'")))=0,0,1)+IF(SUMPRODUCT(--ISERROR(FIND(MID($I19&amp;REPT("a",60),ROW($A$1:$A$60),1),"ABCDEFGHIJKLMNOPQRSTUVWXYZabcdefghijklmnopqrstuvwxyzČĆĐŠŽčćđšž -'")))=0,0,1)+IF(SUMPRODUCT(--ISERROR(FIND(MID($L19&amp;REPT("a",60),ROW($A$1:$A$60),1),"ABCDEFGHIJKLMNOPQRSTUVWXYZabcdefghijklmnopqrstuvwxyzČĆĐŠŽčćđšž -'")))=0,0,1)+IF(SUMPRODUCT(--ISERROR(FIND(MID($O19&amp;REPT("a",60),ROW($A$1:$A$60),1),"ABCDEFGHIJKLMNOPQRSTUVWXYZabcdefghijklmnopqrstuvwxyzČĆĐŠŽčćđšž -'")))=0,0,1)&gt;0,"Ime sadrži znakove koji nisu slova",IF(COUNTA($G19,$J19,$M19,$P19)&lt;&gt;COUNTA($F19,$I19,$L19,$O19),"Nedostaje pol za nekog od članova",IF(COUNTA($F19,$I19,$L19,$O19)&lt;VLOOKUP($A19,ekipe,2,FALSE),"Ekipa mora imati najmanje "&amp;VLOOKUP($A19,ekipe,2,FALSE)&amp;" člana",IF(COUNTA($F19,$I19,$L19,$O19)&gt;VLOOKUP($A19,ekipe,3,FALSE),"Ekipa može imati najviše "&amp;VLOOKUP($A19,ekipe,3,FALSE)&amp;" člana",IF($B19="","Nedostaje vrsta ekipe","prijava je kompletna")))))))))))</f>
        <v/>
      </c>
      <c r="R19">
        <f>IF($C19="","sve_ekipne","tdisc_"&amp;$C19)</f>
        <v/>
      </c>
    </row>
    <row r="20" spans="1:18">
      <c r="A20" s="5"/>
      <c r="B20" s="5"/>
      <c r="C20" s="7">
        <f>IF($E20="","",LOOKUP($E20,INDEX(grupe,0,1),INDEX(grupe,0,2)))</f>
        <v/>
      </c>
      <c r="D20" s="7">
        <f>IF($C20="","",VLOOKUP($C20,INDEX(grupe,0,2):INDEX(grupe,0,3),2,FALSE))</f>
        <v/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8">
        <f>IF(COUNTA($A20:$B20,$E20,$H20,$K20,$N20,$F20,$I20,$L20,$O20)=0,"",IF($A20="","Nedostaje disciplina",IF($E20="","Nedostaje godište prvog člana",IF($C20="","Godište nije obuhvaćeno uzrasnom tabelom",IF(COUNTIF(INDIRECT("tdisc_"&amp;$C20),$A20)=0,"Disciplina nije moguća za uzrast "&amp;$C20,IF(IF($E20="",0,IF(LOOKUP($E20,INDEX(grupe,0,1),INDEX(grupe,0,2))=$C20,0,1))+IF($H20="",0,IF(LOOKUP($H20,INDEX(grupe,0,1),INDEX(grupe,0,2))=$C20,0,1))+IF($K20="",0,IF(LOOKUP($K20,INDEX(grupe,0,1),INDEX(grupe,0,2))=$C20,0,1))+IF($N20="",0,IF(LOOKUP($N20,INDEX(grupe,0,1),INDEX(grupe,0,2))=$C20,0,1))&gt;0,"Članovi ekipe nisu iz iste uzrasne grupe",IF(COUNTA($F20,$I20,$L20,$O20)&lt;&gt;COUNTA($E20,$H20,$K20,$N20),"Za svakog člana potrebni su i godište i ime",IF(IF(SUMPRODUCT(--ISERROR(FIND(MID($F20&amp;REPT("a",60),ROW($A$1:$A$60),1),"ABCDEFGHIJKLMNOPQRSTUVWXYZabcdefghijklmnopqrstuvwxyzČĆĐŠŽčćđšž -'")))=0,0,1)+IF(SUMPRODUCT(--ISERROR(FIND(MID($I20&amp;REPT("a",60),ROW($A$1:$A$60),1),"ABCDEFGHIJKLMNOPQRSTUVWXYZabcdefghijklmnopqrstuvwxyzČĆĐŠŽčćđšž -'")))=0,0,1)+IF(SUMPRODUCT(--ISERROR(FIND(MID($L20&amp;REPT("a",60),ROW($A$1:$A$60),1),"ABCDEFGHIJKLMNOPQRSTUVWXYZabcdefghijklmnopqrstuvwxyzČĆĐŠŽčćđšž -'")))=0,0,1)+IF(SUMPRODUCT(--ISERROR(FIND(MID($O20&amp;REPT("a",60),ROW($A$1:$A$60),1),"ABCDEFGHIJKLMNOPQRSTUVWXYZabcdefghijklmnopqrstuvwxyzČĆĐŠŽčćđšž -'")))=0,0,1)&gt;0,"Ime sadrži znakove koji nisu slova",IF(COUNTA($G20,$J20,$M20,$P20)&lt;&gt;COUNTA($F20,$I20,$L20,$O20),"Nedostaje pol za nekog od članova",IF(COUNTA($F20,$I20,$L20,$O20)&lt;VLOOKUP($A20,ekipe,2,FALSE),"Ekipa mora imati najmanje "&amp;VLOOKUP($A20,ekipe,2,FALSE)&amp;" člana",IF(COUNTA($F20,$I20,$L20,$O20)&gt;VLOOKUP($A20,ekipe,3,FALSE),"Ekipa može imati najviše "&amp;VLOOKUP($A20,ekipe,3,FALSE)&amp;" člana",IF($B20="","Nedostaje vrsta ekipe","prijava je kompletna")))))))))))</f>
        <v/>
      </c>
      <c r="R20">
        <f>IF($C20="","sve_ekipne","tdisc_"&amp;$C20)</f>
        <v/>
      </c>
    </row>
    <row r="21" spans="1:18">
      <c r="A21" s="5"/>
      <c r="B21" s="5"/>
      <c r="C21" s="7">
        <f>IF($E21="","",LOOKUP($E21,INDEX(grupe,0,1),INDEX(grupe,0,2)))</f>
        <v/>
      </c>
      <c r="D21" s="7">
        <f>IF($C21="","",VLOOKUP($C21,INDEX(grupe,0,2):INDEX(grupe,0,3),2,FALSE))</f>
        <v/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8">
        <f>IF(COUNTA($A21:$B21,$E21,$H21,$K21,$N21,$F21,$I21,$L21,$O21)=0,"",IF($A21="","Nedostaje disciplina",IF($E21="","Nedostaje godište prvog člana",IF($C21="","Godište nije obuhvaćeno uzrasnom tabelom",IF(COUNTIF(INDIRECT("tdisc_"&amp;$C21),$A21)=0,"Disciplina nije moguća za uzrast "&amp;$C21,IF(IF($E21="",0,IF(LOOKUP($E21,INDEX(grupe,0,1),INDEX(grupe,0,2))=$C21,0,1))+IF($H21="",0,IF(LOOKUP($H21,INDEX(grupe,0,1),INDEX(grupe,0,2))=$C21,0,1))+IF($K21="",0,IF(LOOKUP($K21,INDEX(grupe,0,1),INDEX(grupe,0,2))=$C21,0,1))+IF($N21="",0,IF(LOOKUP($N21,INDEX(grupe,0,1),INDEX(grupe,0,2))=$C21,0,1))&gt;0,"Članovi ekipe nisu iz iste uzrasne grupe",IF(COUNTA($F21,$I21,$L21,$O21)&lt;&gt;COUNTA($E21,$H21,$K21,$N21),"Za svakog člana potrebni su i godište i ime",IF(IF(SUMPRODUCT(--ISERROR(FIND(MID($F21&amp;REPT("a",60),ROW($A$1:$A$60),1),"ABCDEFGHIJKLMNOPQRSTUVWXYZabcdefghijklmnopqrstuvwxyzČĆĐŠŽčćđšž -'")))=0,0,1)+IF(SUMPRODUCT(--ISERROR(FIND(MID($I21&amp;REPT("a",60),ROW($A$1:$A$60),1),"ABCDEFGHIJKLMNOPQRSTUVWXYZabcdefghijklmnopqrstuvwxyzČĆĐŠŽčćđšž -'")))=0,0,1)+IF(SUMPRODUCT(--ISERROR(FIND(MID($L21&amp;REPT("a",60),ROW($A$1:$A$60),1),"ABCDEFGHIJKLMNOPQRSTUVWXYZabcdefghijklmnopqrstuvwxyzČĆĐŠŽčćđšž -'")))=0,0,1)+IF(SUMPRODUCT(--ISERROR(FIND(MID($O21&amp;REPT("a",60),ROW($A$1:$A$60),1),"ABCDEFGHIJKLMNOPQRSTUVWXYZabcdefghijklmnopqrstuvwxyzČĆĐŠŽčćđšž -'")))=0,0,1)&gt;0,"Ime sadrži znakove koji nisu slova",IF(COUNTA($G21,$J21,$M21,$P21)&lt;&gt;COUNTA($F21,$I21,$L21,$O21),"Nedostaje pol za nekog od članova",IF(COUNTA($F21,$I21,$L21,$O21)&lt;VLOOKUP($A21,ekipe,2,FALSE),"Ekipa mora imati najmanje "&amp;VLOOKUP($A21,ekipe,2,FALSE)&amp;" člana",IF(COUNTA($F21,$I21,$L21,$O21)&gt;VLOOKUP($A21,ekipe,3,FALSE),"Ekipa može imati najviše "&amp;VLOOKUP($A21,ekipe,3,FALSE)&amp;" člana",IF($B21="","Nedostaje vrsta ekipe","prijava je kompletna")))))))))))</f>
        <v/>
      </c>
      <c r="R21">
        <f>IF($C21="","sve_ekipne","tdisc_"&amp;$C21)</f>
        <v/>
      </c>
    </row>
    <row r="22" spans="1:18">
      <c r="A22" s="5"/>
      <c r="B22" s="5"/>
      <c r="C22" s="7">
        <f>IF($E22="","",LOOKUP($E22,INDEX(grupe,0,1),INDEX(grupe,0,2)))</f>
        <v/>
      </c>
      <c r="D22" s="7">
        <f>IF($C22="","",VLOOKUP($C22,INDEX(grupe,0,2):INDEX(grupe,0,3),2,FALSE))</f>
        <v/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8">
        <f>IF(COUNTA($A22:$B22,$E22,$H22,$K22,$N22,$F22,$I22,$L22,$O22)=0,"",IF($A22="","Nedostaje disciplina",IF($E22="","Nedostaje godište prvog člana",IF($C22="","Godište nije obuhvaćeno uzrasnom tabelom",IF(COUNTIF(INDIRECT("tdisc_"&amp;$C22),$A22)=0,"Disciplina nije moguća za uzrast "&amp;$C22,IF(IF($E22="",0,IF(LOOKUP($E22,INDEX(grupe,0,1),INDEX(grupe,0,2))=$C22,0,1))+IF($H22="",0,IF(LOOKUP($H22,INDEX(grupe,0,1),INDEX(grupe,0,2))=$C22,0,1))+IF($K22="",0,IF(LOOKUP($K22,INDEX(grupe,0,1),INDEX(grupe,0,2))=$C22,0,1))+IF($N22="",0,IF(LOOKUP($N22,INDEX(grupe,0,1),INDEX(grupe,0,2))=$C22,0,1))&gt;0,"Članovi ekipe nisu iz iste uzrasne grupe",IF(COUNTA($F22,$I22,$L22,$O22)&lt;&gt;COUNTA($E22,$H22,$K22,$N22),"Za svakog člana potrebni su i godište i ime",IF(IF(SUMPRODUCT(--ISERROR(FIND(MID($F22&amp;REPT("a",60),ROW($A$1:$A$60),1),"ABCDEFGHIJKLMNOPQRSTUVWXYZabcdefghijklmnopqrstuvwxyzČĆĐŠŽčćđšž -'")))=0,0,1)+IF(SUMPRODUCT(--ISERROR(FIND(MID($I22&amp;REPT("a",60),ROW($A$1:$A$60),1),"ABCDEFGHIJKLMNOPQRSTUVWXYZabcdefghijklmnopqrstuvwxyzČĆĐŠŽčćđšž -'")))=0,0,1)+IF(SUMPRODUCT(--ISERROR(FIND(MID($L22&amp;REPT("a",60),ROW($A$1:$A$60),1),"ABCDEFGHIJKLMNOPQRSTUVWXYZabcdefghijklmnopqrstuvwxyzČĆĐŠŽčćđšž -'")))=0,0,1)+IF(SUMPRODUCT(--ISERROR(FIND(MID($O22&amp;REPT("a",60),ROW($A$1:$A$60),1),"ABCDEFGHIJKLMNOPQRSTUVWXYZabcdefghijklmnopqrstuvwxyzČĆĐŠŽčćđšž -'")))=0,0,1)&gt;0,"Ime sadrži znakove koji nisu slova",IF(COUNTA($G22,$J22,$M22,$P22)&lt;&gt;COUNTA($F22,$I22,$L22,$O22),"Nedostaje pol za nekog od članova",IF(COUNTA($F22,$I22,$L22,$O22)&lt;VLOOKUP($A22,ekipe,2,FALSE),"Ekipa mora imati najmanje "&amp;VLOOKUP($A22,ekipe,2,FALSE)&amp;" člana",IF(COUNTA($F22,$I22,$L22,$O22)&gt;VLOOKUP($A22,ekipe,3,FALSE),"Ekipa može imati najviše "&amp;VLOOKUP($A22,ekipe,3,FALSE)&amp;" člana",IF($B22="","Nedostaje vrsta ekipe","prijava je kompletna")))))))))))</f>
        <v/>
      </c>
      <c r="R22">
        <f>IF($C22="","sve_ekipne","tdisc_"&amp;$C22)</f>
        <v/>
      </c>
    </row>
    <row r="23" spans="1:18">
      <c r="A23" s="5"/>
      <c r="B23" s="5"/>
      <c r="C23" s="7">
        <f>IF($E23="","",LOOKUP($E23,INDEX(grupe,0,1),INDEX(grupe,0,2)))</f>
        <v/>
      </c>
      <c r="D23" s="7">
        <f>IF($C23="","",VLOOKUP($C23,INDEX(grupe,0,2):INDEX(grupe,0,3),2,FALSE))</f>
        <v/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8">
        <f>IF(COUNTA($A23:$B23,$E23,$H23,$K23,$N23,$F23,$I23,$L23,$O23)=0,"",IF($A23="","Nedostaje disciplina",IF($E23="","Nedostaje godište prvog člana",IF($C23="","Godište nije obuhvaćeno uzrasnom tabelom",IF(COUNTIF(INDIRECT("tdisc_"&amp;$C23),$A23)=0,"Disciplina nije moguća za uzrast "&amp;$C23,IF(IF($E23="",0,IF(LOOKUP($E23,INDEX(grupe,0,1),INDEX(grupe,0,2))=$C23,0,1))+IF($H23="",0,IF(LOOKUP($H23,INDEX(grupe,0,1),INDEX(grupe,0,2))=$C23,0,1))+IF($K23="",0,IF(LOOKUP($K23,INDEX(grupe,0,1),INDEX(grupe,0,2))=$C23,0,1))+IF($N23="",0,IF(LOOKUP($N23,INDEX(grupe,0,1),INDEX(grupe,0,2))=$C23,0,1))&gt;0,"Članovi ekipe nisu iz iste uzrasne grupe",IF(COUNTA($F23,$I23,$L23,$O23)&lt;&gt;COUNTA($E23,$H23,$K23,$N23),"Za svakog člana potrebni su i godište i ime",IF(IF(SUMPRODUCT(--ISERROR(FIND(MID($F23&amp;REPT("a",60),ROW($A$1:$A$60),1),"ABCDEFGHIJKLMNOPQRSTUVWXYZabcdefghijklmnopqrstuvwxyzČĆĐŠŽčćđšž -'")))=0,0,1)+IF(SUMPRODUCT(--ISERROR(FIND(MID($I23&amp;REPT("a",60),ROW($A$1:$A$60),1),"ABCDEFGHIJKLMNOPQRSTUVWXYZabcdefghijklmnopqrstuvwxyzČĆĐŠŽčćđšž -'")))=0,0,1)+IF(SUMPRODUCT(--ISERROR(FIND(MID($L23&amp;REPT("a",60),ROW($A$1:$A$60),1),"ABCDEFGHIJKLMNOPQRSTUVWXYZabcdefghijklmnopqrstuvwxyzČĆĐŠŽčćđšž -'")))=0,0,1)+IF(SUMPRODUCT(--ISERROR(FIND(MID($O23&amp;REPT("a",60),ROW($A$1:$A$60),1),"ABCDEFGHIJKLMNOPQRSTUVWXYZabcdefghijklmnopqrstuvwxyzČĆĐŠŽčćđšž -'")))=0,0,1)&gt;0,"Ime sadrži znakove koji nisu slova",IF(COUNTA($G23,$J23,$M23,$P23)&lt;&gt;COUNTA($F23,$I23,$L23,$O23),"Nedostaje pol za nekog od članova",IF(COUNTA($F23,$I23,$L23,$O23)&lt;VLOOKUP($A23,ekipe,2,FALSE),"Ekipa mora imati najmanje "&amp;VLOOKUP($A23,ekipe,2,FALSE)&amp;" člana",IF(COUNTA($F23,$I23,$L23,$O23)&gt;VLOOKUP($A23,ekipe,3,FALSE),"Ekipa može imati najviše "&amp;VLOOKUP($A23,ekipe,3,FALSE)&amp;" člana",IF($B23="","Nedostaje vrsta ekipe","prijava je kompletna")))))))))))</f>
        <v/>
      </c>
      <c r="R23">
        <f>IF($C23="","sve_ekipne","tdisc_"&amp;$C23)</f>
        <v/>
      </c>
    </row>
    <row r="24" spans="1:18">
      <c r="A24" s="5"/>
      <c r="B24" s="5"/>
      <c r="C24" s="7">
        <f>IF($E24="","",LOOKUP($E24,INDEX(grupe,0,1),INDEX(grupe,0,2)))</f>
        <v/>
      </c>
      <c r="D24" s="7">
        <f>IF($C24="","",VLOOKUP($C24,INDEX(grupe,0,2):INDEX(grupe,0,3),2,FALSE))</f>
        <v/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8">
        <f>IF(COUNTA($A24:$B24,$E24,$H24,$K24,$N24,$F24,$I24,$L24,$O24)=0,"",IF($A24="","Nedostaje disciplina",IF($E24="","Nedostaje godište prvog člana",IF($C24="","Godište nije obuhvaćeno uzrasnom tabelom",IF(COUNTIF(INDIRECT("tdisc_"&amp;$C24),$A24)=0,"Disciplina nije moguća za uzrast "&amp;$C24,IF(IF($E24="",0,IF(LOOKUP($E24,INDEX(grupe,0,1),INDEX(grupe,0,2))=$C24,0,1))+IF($H24="",0,IF(LOOKUP($H24,INDEX(grupe,0,1),INDEX(grupe,0,2))=$C24,0,1))+IF($K24="",0,IF(LOOKUP($K24,INDEX(grupe,0,1),INDEX(grupe,0,2))=$C24,0,1))+IF($N24="",0,IF(LOOKUP($N24,INDEX(grupe,0,1),INDEX(grupe,0,2))=$C24,0,1))&gt;0,"Članovi ekipe nisu iz iste uzrasne grupe",IF(COUNTA($F24,$I24,$L24,$O24)&lt;&gt;COUNTA($E24,$H24,$K24,$N24),"Za svakog člana potrebni su i godište i ime",IF(IF(SUMPRODUCT(--ISERROR(FIND(MID($F24&amp;REPT("a",60),ROW($A$1:$A$60),1),"ABCDEFGHIJKLMNOPQRSTUVWXYZabcdefghijklmnopqrstuvwxyzČĆĐŠŽčćđšž -'")))=0,0,1)+IF(SUMPRODUCT(--ISERROR(FIND(MID($I24&amp;REPT("a",60),ROW($A$1:$A$60),1),"ABCDEFGHIJKLMNOPQRSTUVWXYZabcdefghijklmnopqrstuvwxyzČĆĐŠŽčćđšž -'")))=0,0,1)+IF(SUMPRODUCT(--ISERROR(FIND(MID($L24&amp;REPT("a",60),ROW($A$1:$A$60),1),"ABCDEFGHIJKLMNOPQRSTUVWXYZabcdefghijklmnopqrstuvwxyzČĆĐŠŽčćđšž -'")))=0,0,1)+IF(SUMPRODUCT(--ISERROR(FIND(MID($O24&amp;REPT("a",60),ROW($A$1:$A$60),1),"ABCDEFGHIJKLMNOPQRSTUVWXYZabcdefghijklmnopqrstuvwxyzČĆĐŠŽčćđšž -'")))=0,0,1)&gt;0,"Ime sadrži znakove koji nisu slova",IF(COUNTA($G24,$J24,$M24,$P24)&lt;&gt;COUNTA($F24,$I24,$L24,$O24),"Nedostaje pol za nekog od članova",IF(COUNTA($F24,$I24,$L24,$O24)&lt;VLOOKUP($A24,ekipe,2,FALSE),"Ekipa mora imati najmanje "&amp;VLOOKUP($A24,ekipe,2,FALSE)&amp;" člana",IF(COUNTA($F24,$I24,$L24,$O24)&gt;VLOOKUP($A24,ekipe,3,FALSE),"Ekipa može imati najviše "&amp;VLOOKUP($A24,ekipe,3,FALSE)&amp;" člana",IF($B24="","Nedostaje vrsta ekipe","prijava je kompletna")))))))))))</f>
        <v/>
      </c>
      <c r="R24">
        <f>IF($C24="","sve_ekipne","tdisc_"&amp;$C24)</f>
        <v/>
      </c>
    </row>
    <row r="25" spans="1:18">
      <c r="A25" s="5"/>
      <c r="B25" s="5"/>
      <c r="C25" s="7">
        <f>IF($E25="","",LOOKUP($E25,INDEX(grupe,0,1),INDEX(grupe,0,2)))</f>
        <v/>
      </c>
      <c r="D25" s="7">
        <f>IF($C25="","",VLOOKUP($C25,INDEX(grupe,0,2):INDEX(grupe,0,3),2,FALSE))</f>
        <v/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8">
        <f>IF(COUNTA($A25:$B25,$E25,$H25,$K25,$N25,$F25,$I25,$L25,$O25)=0,"",IF($A25="","Nedostaje disciplina",IF($E25="","Nedostaje godište prvog člana",IF($C25="","Godište nije obuhvaćeno uzrasnom tabelom",IF(COUNTIF(INDIRECT("tdisc_"&amp;$C25),$A25)=0,"Disciplina nije moguća za uzrast "&amp;$C25,IF(IF($E25="",0,IF(LOOKUP($E25,INDEX(grupe,0,1),INDEX(grupe,0,2))=$C25,0,1))+IF($H25="",0,IF(LOOKUP($H25,INDEX(grupe,0,1),INDEX(grupe,0,2))=$C25,0,1))+IF($K25="",0,IF(LOOKUP($K25,INDEX(grupe,0,1),INDEX(grupe,0,2))=$C25,0,1))+IF($N25="",0,IF(LOOKUP($N25,INDEX(grupe,0,1),INDEX(grupe,0,2))=$C25,0,1))&gt;0,"Članovi ekipe nisu iz iste uzrasne grupe",IF(COUNTA($F25,$I25,$L25,$O25)&lt;&gt;COUNTA($E25,$H25,$K25,$N25),"Za svakog člana potrebni su i godište i ime",IF(IF(SUMPRODUCT(--ISERROR(FIND(MID($F25&amp;REPT("a",60),ROW($A$1:$A$60),1),"ABCDEFGHIJKLMNOPQRSTUVWXYZabcdefghijklmnopqrstuvwxyzČĆĐŠŽčćđšž -'")))=0,0,1)+IF(SUMPRODUCT(--ISERROR(FIND(MID($I25&amp;REPT("a",60),ROW($A$1:$A$60),1),"ABCDEFGHIJKLMNOPQRSTUVWXYZabcdefghijklmnopqrstuvwxyzČĆĐŠŽčćđšž -'")))=0,0,1)+IF(SUMPRODUCT(--ISERROR(FIND(MID($L25&amp;REPT("a",60),ROW($A$1:$A$60),1),"ABCDEFGHIJKLMNOPQRSTUVWXYZabcdefghijklmnopqrstuvwxyzČĆĐŠŽčćđšž -'")))=0,0,1)+IF(SUMPRODUCT(--ISERROR(FIND(MID($O25&amp;REPT("a",60),ROW($A$1:$A$60),1),"ABCDEFGHIJKLMNOPQRSTUVWXYZabcdefghijklmnopqrstuvwxyzČĆĐŠŽčćđšž -'")))=0,0,1)&gt;0,"Ime sadrži znakove koji nisu slova",IF(COUNTA($G25,$J25,$M25,$P25)&lt;&gt;COUNTA($F25,$I25,$L25,$O25),"Nedostaje pol za nekog od članova",IF(COUNTA($F25,$I25,$L25,$O25)&lt;VLOOKUP($A25,ekipe,2,FALSE),"Ekipa mora imati najmanje "&amp;VLOOKUP($A25,ekipe,2,FALSE)&amp;" člana",IF(COUNTA($F25,$I25,$L25,$O25)&gt;VLOOKUP($A25,ekipe,3,FALSE),"Ekipa može imati najviše "&amp;VLOOKUP($A25,ekipe,3,FALSE)&amp;" člana",IF($B25="","Nedostaje vrsta ekipe","prijava je kompletna")))))))))))</f>
        <v/>
      </c>
      <c r="R25">
        <f>IF($C25="","sve_ekipne","tdisc_"&amp;$C25)</f>
        <v/>
      </c>
    </row>
    <row r="26" spans="1:18">
      <c r="A26" s="5"/>
      <c r="B26" s="5"/>
      <c r="C26" s="7">
        <f>IF($E26="","",LOOKUP($E26,INDEX(grupe,0,1),INDEX(grupe,0,2)))</f>
        <v/>
      </c>
      <c r="D26" s="7">
        <f>IF($C26="","",VLOOKUP($C26,INDEX(grupe,0,2):INDEX(grupe,0,3),2,FALSE))</f>
        <v/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8">
        <f>IF(COUNTA($A26:$B26,$E26,$H26,$K26,$N26,$F26,$I26,$L26,$O26)=0,"",IF($A26="","Nedostaje disciplina",IF($E26="","Nedostaje godište prvog člana",IF($C26="","Godište nije obuhvaćeno uzrasnom tabelom",IF(COUNTIF(INDIRECT("tdisc_"&amp;$C26),$A26)=0,"Disciplina nije moguća za uzrast "&amp;$C26,IF(IF($E26="",0,IF(LOOKUP($E26,INDEX(grupe,0,1),INDEX(grupe,0,2))=$C26,0,1))+IF($H26="",0,IF(LOOKUP($H26,INDEX(grupe,0,1),INDEX(grupe,0,2))=$C26,0,1))+IF($K26="",0,IF(LOOKUP($K26,INDEX(grupe,0,1),INDEX(grupe,0,2))=$C26,0,1))+IF($N26="",0,IF(LOOKUP($N26,INDEX(grupe,0,1),INDEX(grupe,0,2))=$C26,0,1))&gt;0,"Članovi ekipe nisu iz iste uzrasne grupe",IF(COUNTA($F26,$I26,$L26,$O26)&lt;&gt;COUNTA($E26,$H26,$K26,$N26),"Za svakog člana potrebni su i godište i ime",IF(IF(SUMPRODUCT(--ISERROR(FIND(MID($F26&amp;REPT("a",60),ROW($A$1:$A$60),1),"ABCDEFGHIJKLMNOPQRSTUVWXYZabcdefghijklmnopqrstuvwxyzČĆĐŠŽčćđšž -'")))=0,0,1)+IF(SUMPRODUCT(--ISERROR(FIND(MID($I26&amp;REPT("a",60),ROW($A$1:$A$60),1),"ABCDEFGHIJKLMNOPQRSTUVWXYZabcdefghijklmnopqrstuvwxyzČĆĐŠŽčćđšž -'")))=0,0,1)+IF(SUMPRODUCT(--ISERROR(FIND(MID($L26&amp;REPT("a",60),ROW($A$1:$A$60),1),"ABCDEFGHIJKLMNOPQRSTUVWXYZabcdefghijklmnopqrstuvwxyzČĆĐŠŽčćđšž -'")))=0,0,1)+IF(SUMPRODUCT(--ISERROR(FIND(MID($O26&amp;REPT("a",60),ROW($A$1:$A$60),1),"ABCDEFGHIJKLMNOPQRSTUVWXYZabcdefghijklmnopqrstuvwxyzČĆĐŠŽčćđšž -'")))=0,0,1)&gt;0,"Ime sadrži znakove koji nisu slova",IF(COUNTA($G26,$J26,$M26,$P26)&lt;&gt;COUNTA($F26,$I26,$L26,$O26),"Nedostaje pol za nekog od članova",IF(COUNTA($F26,$I26,$L26,$O26)&lt;VLOOKUP($A26,ekipe,2,FALSE),"Ekipa mora imati najmanje "&amp;VLOOKUP($A26,ekipe,2,FALSE)&amp;" člana",IF(COUNTA($F26,$I26,$L26,$O26)&gt;VLOOKUP($A26,ekipe,3,FALSE),"Ekipa može imati najviše "&amp;VLOOKUP($A26,ekipe,3,FALSE)&amp;" člana",IF($B26="","Nedostaje vrsta ekipe","prijava je kompletna")))))))))))</f>
        <v/>
      </c>
      <c r="R26">
        <f>IF($C26="","sve_ekipne","tdisc_"&amp;$C26)</f>
        <v/>
      </c>
    </row>
    <row r="27" spans="1:18">
      <c r="A27" s="5"/>
      <c r="B27" s="5"/>
      <c r="C27" s="7">
        <f>IF($E27="","",LOOKUP($E27,INDEX(grupe,0,1),INDEX(grupe,0,2)))</f>
        <v/>
      </c>
      <c r="D27" s="7">
        <f>IF($C27="","",VLOOKUP($C27,INDEX(grupe,0,2):INDEX(grupe,0,3),2,FALSE))</f>
        <v/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8">
        <f>IF(COUNTA($A27:$B27,$E27,$H27,$K27,$N27,$F27,$I27,$L27,$O27)=0,"",IF($A27="","Nedostaje disciplina",IF($E27="","Nedostaje godište prvog člana",IF($C27="","Godište nije obuhvaćeno uzrasnom tabelom",IF(COUNTIF(INDIRECT("tdisc_"&amp;$C27),$A27)=0,"Disciplina nije moguća za uzrast "&amp;$C27,IF(IF($E27="",0,IF(LOOKUP($E27,INDEX(grupe,0,1),INDEX(grupe,0,2))=$C27,0,1))+IF($H27="",0,IF(LOOKUP($H27,INDEX(grupe,0,1),INDEX(grupe,0,2))=$C27,0,1))+IF($K27="",0,IF(LOOKUP($K27,INDEX(grupe,0,1),INDEX(grupe,0,2))=$C27,0,1))+IF($N27="",0,IF(LOOKUP($N27,INDEX(grupe,0,1),INDEX(grupe,0,2))=$C27,0,1))&gt;0,"Članovi ekipe nisu iz iste uzrasne grupe",IF(COUNTA($F27,$I27,$L27,$O27)&lt;&gt;COUNTA($E27,$H27,$K27,$N27),"Za svakog člana potrebni su i godište i ime",IF(IF(SUMPRODUCT(--ISERROR(FIND(MID($F27&amp;REPT("a",60),ROW($A$1:$A$60),1),"ABCDEFGHIJKLMNOPQRSTUVWXYZabcdefghijklmnopqrstuvwxyzČĆĐŠŽčćđšž -'")))=0,0,1)+IF(SUMPRODUCT(--ISERROR(FIND(MID($I27&amp;REPT("a",60),ROW($A$1:$A$60),1),"ABCDEFGHIJKLMNOPQRSTUVWXYZabcdefghijklmnopqrstuvwxyzČĆĐŠŽčćđšž -'")))=0,0,1)+IF(SUMPRODUCT(--ISERROR(FIND(MID($L27&amp;REPT("a",60),ROW($A$1:$A$60),1),"ABCDEFGHIJKLMNOPQRSTUVWXYZabcdefghijklmnopqrstuvwxyzČĆĐŠŽčćđšž -'")))=0,0,1)+IF(SUMPRODUCT(--ISERROR(FIND(MID($O27&amp;REPT("a",60),ROW($A$1:$A$60),1),"ABCDEFGHIJKLMNOPQRSTUVWXYZabcdefghijklmnopqrstuvwxyzČĆĐŠŽčćđšž -'")))=0,0,1)&gt;0,"Ime sadrži znakove koji nisu slova",IF(COUNTA($G27,$J27,$M27,$P27)&lt;&gt;COUNTA($F27,$I27,$L27,$O27),"Nedostaje pol za nekog od članova",IF(COUNTA($F27,$I27,$L27,$O27)&lt;VLOOKUP($A27,ekipe,2,FALSE),"Ekipa mora imati najmanje "&amp;VLOOKUP($A27,ekipe,2,FALSE)&amp;" člana",IF(COUNTA($F27,$I27,$L27,$O27)&gt;VLOOKUP($A27,ekipe,3,FALSE),"Ekipa može imati najviše "&amp;VLOOKUP($A27,ekipe,3,FALSE)&amp;" člana",IF($B27="","Nedostaje vrsta ekipe","prijava je kompletna")))))))))))</f>
        <v/>
      </c>
      <c r="R27">
        <f>IF($C27="","sve_ekipne","tdisc_"&amp;$C27)</f>
        <v/>
      </c>
    </row>
    <row r="28" spans="1:18">
      <c r="A28" s="5"/>
      <c r="B28" s="5"/>
      <c r="C28" s="7">
        <f>IF($E28="","",LOOKUP($E28,INDEX(grupe,0,1),INDEX(grupe,0,2)))</f>
        <v/>
      </c>
      <c r="D28" s="7">
        <f>IF($C28="","",VLOOKUP($C28,INDEX(grupe,0,2):INDEX(grupe,0,3),2,FALSE))</f>
        <v/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8">
        <f>IF(COUNTA($A28:$B28,$E28,$H28,$K28,$N28,$F28,$I28,$L28,$O28)=0,"",IF($A28="","Nedostaje disciplina",IF($E28="","Nedostaje godište prvog člana",IF($C28="","Godište nije obuhvaćeno uzrasnom tabelom",IF(COUNTIF(INDIRECT("tdisc_"&amp;$C28),$A28)=0,"Disciplina nije moguća za uzrast "&amp;$C28,IF(IF($E28="",0,IF(LOOKUP($E28,INDEX(grupe,0,1),INDEX(grupe,0,2))=$C28,0,1))+IF($H28="",0,IF(LOOKUP($H28,INDEX(grupe,0,1),INDEX(grupe,0,2))=$C28,0,1))+IF($K28="",0,IF(LOOKUP($K28,INDEX(grupe,0,1),INDEX(grupe,0,2))=$C28,0,1))+IF($N28="",0,IF(LOOKUP($N28,INDEX(grupe,0,1),INDEX(grupe,0,2))=$C28,0,1))&gt;0,"Članovi ekipe nisu iz iste uzrasne grupe",IF(COUNTA($F28,$I28,$L28,$O28)&lt;&gt;COUNTA($E28,$H28,$K28,$N28),"Za svakog člana potrebni su i godište i ime",IF(IF(SUMPRODUCT(--ISERROR(FIND(MID($F28&amp;REPT("a",60),ROW($A$1:$A$60),1),"ABCDEFGHIJKLMNOPQRSTUVWXYZabcdefghijklmnopqrstuvwxyzČĆĐŠŽčćđšž -'")))=0,0,1)+IF(SUMPRODUCT(--ISERROR(FIND(MID($I28&amp;REPT("a",60),ROW($A$1:$A$60),1),"ABCDEFGHIJKLMNOPQRSTUVWXYZabcdefghijklmnopqrstuvwxyzČĆĐŠŽčćđšž -'")))=0,0,1)+IF(SUMPRODUCT(--ISERROR(FIND(MID($L28&amp;REPT("a",60),ROW($A$1:$A$60),1),"ABCDEFGHIJKLMNOPQRSTUVWXYZabcdefghijklmnopqrstuvwxyzČĆĐŠŽčćđšž -'")))=0,0,1)+IF(SUMPRODUCT(--ISERROR(FIND(MID($O28&amp;REPT("a",60),ROW($A$1:$A$60),1),"ABCDEFGHIJKLMNOPQRSTUVWXYZabcdefghijklmnopqrstuvwxyzČĆĐŠŽčćđšž -'")))=0,0,1)&gt;0,"Ime sadrži znakove koji nisu slova",IF(COUNTA($G28,$J28,$M28,$P28)&lt;&gt;COUNTA($F28,$I28,$L28,$O28),"Nedostaje pol za nekog od članova",IF(COUNTA($F28,$I28,$L28,$O28)&lt;VLOOKUP($A28,ekipe,2,FALSE),"Ekipa mora imati najmanje "&amp;VLOOKUP($A28,ekipe,2,FALSE)&amp;" člana",IF(COUNTA($F28,$I28,$L28,$O28)&gt;VLOOKUP($A28,ekipe,3,FALSE),"Ekipa može imati najviše "&amp;VLOOKUP($A28,ekipe,3,FALSE)&amp;" člana",IF($B28="","Nedostaje vrsta ekipe","prijava je kompletna")))))))))))</f>
        <v/>
      </c>
      <c r="R28">
        <f>IF($C28="","sve_ekipne","tdisc_"&amp;$C28)</f>
        <v/>
      </c>
    </row>
    <row r="29" spans="1:18">
      <c r="A29" s="5"/>
      <c r="B29" s="5"/>
      <c r="C29" s="7">
        <f>IF($E29="","",LOOKUP($E29,INDEX(grupe,0,1),INDEX(grupe,0,2)))</f>
        <v/>
      </c>
      <c r="D29" s="7">
        <f>IF($C29="","",VLOOKUP($C29,INDEX(grupe,0,2):INDEX(grupe,0,3),2,FALSE))</f>
        <v/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8">
        <f>IF(COUNTA($A29:$B29,$E29,$H29,$K29,$N29,$F29,$I29,$L29,$O29)=0,"",IF($A29="","Nedostaje disciplina",IF($E29="","Nedostaje godište prvog člana",IF($C29="","Godište nije obuhvaćeno uzrasnom tabelom",IF(COUNTIF(INDIRECT("tdisc_"&amp;$C29),$A29)=0,"Disciplina nije moguća za uzrast "&amp;$C29,IF(IF($E29="",0,IF(LOOKUP($E29,INDEX(grupe,0,1),INDEX(grupe,0,2))=$C29,0,1))+IF($H29="",0,IF(LOOKUP($H29,INDEX(grupe,0,1),INDEX(grupe,0,2))=$C29,0,1))+IF($K29="",0,IF(LOOKUP($K29,INDEX(grupe,0,1),INDEX(grupe,0,2))=$C29,0,1))+IF($N29="",0,IF(LOOKUP($N29,INDEX(grupe,0,1),INDEX(grupe,0,2))=$C29,0,1))&gt;0,"Članovi ekipe nisu iz iste uzrasne grupe",IF(COUNTA($F29,$I29,$L29,$O29)&lt;&gt;COUNTA($E29,$H29,$K29,$N29),"Za svakog člana potrebni su i godište i ime",IF(IF(SUMPRODUCT(--ISERROR(FIND(MID($F29&amp;REPT("a",60),ROW($A$1:$A$60),1),"ABCDEFGHIJKLMNOPQRSTUVWXYZabcdefghijklmnopqrstuvwxyzČĆĐŠŽčćđšž -'")))=0,0,1)+IF(SUMPRODUCT(--ISERROR(FIND(MID($I29&amp;REPT("a",60),ROW($A$1:$A$60),1),"ABCDEFGHIJKLMNOPQRSTUVWXYZabcdefghijklmnopqrstuvwxyzČĆĐŠŽčćđšž -'")))=0,0,1)+IF(SUMPRODUCT(--ISERROR(FIND(MID($L29&amp;REPT("a",60),ROW($A$1:$A$60),1),"ABCDEFGHIJKLMNOPQRSTUVWXYZabcdefghijklmnopqrstuvwxyzČĆĐŠŽčćđšž -'")))=0,0,1)+IF(SUMPRODUCT(--ISERROR(FIND(MID($O29&amp;REPT("a",60),ROW($A$1:$A$60),1),"ABCDEFGHIJKLMNOPQRSTUVWXYZabcdefghijklmnopqrstuvwxyzČĆĐŠŽčćđšž -'")))=0,0,1)&gt;0,"Ime sadrži znakove koji nisu slova",IF(COUNTA($G29,$J29,$M29,$P29)&lt;&gt;COUNTA($F29,$I29,$L29,$O29),"Nedostaje pol za nekog od članova",IF(COUNTA($F29,$I29,$L29,$O29)&lt;VLOOKUP($A29,ekipe,2,FALSE),"Ekipa mora imati najmanje "&amp;VLOOKUP($A29,ekipe,2,FALSE)&amp;" člana",IF(COUNTA($F29,$I29,$L29,$O29)&gt;VLOOKUP($A29,ekipe,3,FALSE),"Ekipa može imati najviše "&amp;VLOOKUP($A29,ekipe,3,FALSE)&amp;" člana",IF($B29="","Nedostaje vrsta ekipe","prijava je kompletna")))))))))))</f>
        <v/>
      </c>
      <c r="R29">
        <f>IF($C29="","sve_ekipne","tdisc_"&amp;$C29)</f>
        <v/>
      </c>
    </row>
    <row r="30" spans="1:18">
      <c r="A30" s="5"/>
      <c r="B30" s="5"/>
      <c r="C30" s="7">
        <f>IF($E30="","",LOOKUP($E30,INDEX(grupe,0,1),INDEX(grupe,0,2)))</f>
        <v/>
      </c>
      <c r="D30" s="7">
        <f>IF($C30="","",VLOOKUP($C30,INDEX(grupe,0,2):INDEX(grupe,0,3),2,FALSE))</f>
        <v/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8">
        <f>IF(COUNTA($A30:$B30,$E30,$H30,$K30,$N30,$F30,$I30,$L30,$O30)=0,"",IF($A30="","Nedostaje disciplina",IF($E30="","Nedostaje godište prvog člana",IF($C30="","Godište nije obuhvaćeno uzrasnom tabelom",IF(COUNTIF(INDIRECT("tdisc_"&amp;$C30),$A30)=0,"Disciplina nije moguća za uzrast "&amp;$C30,IF(IF($E30="",0,IF(LOOKUP($E30,INDEX(grupe,0,1),INDEX(grupe,0,2))=$C30,0,1))+IF($H30="",0,IF(LOOKUP($H30,INDEX(grupe,0,1),INDEX(grupe,0,2))=$C30,0,1))+IF($K30="",0,IF(LOOKUP($K30,INDEX(grupe,0,1),INDEX(grupe,0,2))=$C30,0,1))+IF($N30="",0,IF(LOOKUP($N30,INDEX(grupe,0,1),INDEX(grupe,0,2))=$C30,0,1))&gt;0,"Članovi ekipe nisu iz iste uzrasne grupe",IF(COUNTA($F30,$I30,$L30,$O30)&lt;&gt;COUNTA($E30,$H30,$K30,$N30),"Za svakog člana potrebni su i godište i ime",IF(IF(SUMPRODUCT(--ISERROR(FIND(MID($F30&amp;REPT("a",60),ROW($A$1:$A$60),1),"ABCDEFGHIJKLMNOPQRSTUVWXYZabcdefghijklmnopqrstuvwxyzČĆĐŠŽčćđšž -'")))=0,0,1)+IF(SUMPRODUCT(--ISERROR(FIND(MID($I30&amp;REPT("a",60),ROW($A$1:$A$60),1),"ABCDEFGHIJKLMNOPQRSTUVWXYZabcdefghijklmnopqrstuvwxyzČĆĐŠŽčćđšž -'")))=0,0,1)+IF(SUMPRODUCT(--ISERROR(FIND(MID($L30&amp;REPT("a",60),ROW($A$1:$A$60),1),"ABCDEFGHIJKLMNOPQRSTUVWXYZabcdefghijklmnopqrstuvwxyzČĆĐŠŽčćđšž -'")))=0,0,1)+IF(SUMPRODUCT(--ISERROR(FIND(MID($O30&amp;REPT("a",60),ROW($A$1:$A$60),1),"ABCDEFGHIJKLMNOPQRSTUVWXYZabcdefghijklmnopqrstuvwxyzČĆĐŠŽčćđšž -'")))=0,0,1)&gt;0,"Ime sadrži znakove koji nisu slova",IF(COUNTA($G30,$J30,$M30,$P30)&lt;&gt;COUNTA($F30,$I30,$L30,$O30),"Nedostaje pol za nekog od članova",IF(COUNTA($F30,$I30,$L30,$O30)&lt;VLOOKUP($A30,ekipe,2,FALSE),"Ekipa mora imati najmanje "&amp;VLOOKUP($A30,ekipe,2,FALSE)&amp;" člana",IF(COUNTA($F30,$I30,$L30,$O30)&gt;VLOOKUP($A30,ekipe,3,FALSE),"Ekipa može imati najviše "&amp;VLOOKUP($A30,ekipe,3,FALSE)&amp;" člana",IF($B30="","Nedostaje vrsta ekipe","prijava je kompletna")))))))))))</f>
        <v/>
      </c>
      <c r="R30">
        <f>IF($C30="","sve_ekipne","tdisc_"&amp;$C30)</f>
        <v/>
      </c>
    </row>
    <row r="31" spans="1:18">
      <c r="A31" s="5"/>
      <c r="B31" s="5"/>
      <c r="C31" s="7">
        <f>IF($E31="","",LOOKUP($E31,INDEX(grupe,0,1),INDEX(grupe,0,2)))</f>
        <v/>
      </c>
      <c r="D31" s="7">
        <f>IF($C31="","",VLOOKUP($C31,INDEX(grupe,0,2):INDEX(grupe,0,3),2,FALSE))</f>
        <v/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8">
        <f>IF(COUNTA($A31:$B31,$E31,$H31,$K31,$N31,$F31,$I31,$L31,$O31)=0,"",IF($A31="","Nedostaje disciplina",IF($E31="","Nedostaje godište prvog člana",IF($C31="","Godište nije obuhvaćeno uzrasnom tabelom",IF(COUNTIF(INDIRECT("tdisc_"&amp;$C31),$A31)=0,"Disciplina nije moguća za uzrast "&amp;$C31,IF(IF($E31="",0,IF(LOOKUP($E31,INDEX(grupe,0,1),INDEX(grupe,0,2))=$C31,0,1))+IF($H31="",0,IF(LOOKUP($H31,INDEX(grupe,0,1),INDEX(grupe,0,2))=$C31,0,1))+IF($K31="",0,IF(LOOKUP($K31,INDEX(grupe,0,1),INDEX(grupe,0,2))=$C31,0,1))+IF($N31="",0,IF(LOOKUP($N31,INDEX(grupe,0,1),INDEX(grupe,0,2))=$C31,0,1))&gt;0,"Članovi ekipe nisu iz iste uzrasne grupe",IF(COUNTA($F31,$I31,$L31,$O31)&lt;&gt;COUNTA($E31,$H31,$K31,$N31),"Za svakog člana potrebni su i godište i ime",IF(IF(SUMPRODUCT(--ISERROR(FIND(MID($F31&amp;REPT("a",60),ROW($A$1:$A$60),1),"ABCDEFGHIJKLMNOPQRSTUVWXYZabcdefghijklmnopqrstuvwxyzČĆĐŠŽčćđšž -'")))=0,0,1)+IF(SUMPRODUCT(--ISERROR(FIND(MID($I31&amp;REPT("a",60),ROW($A$1:$A$60),1),"ABCDEFGHIJKLMNOPQRSTUVWXYZabcdefghijklmnopqrstuvwxyzČĆĐŠŽčćđšž -'")))=0,0,1)+IF(SUMPRODUCT(--ISERROR(FIND(MID($L31&amp;REPT("a",60),ROW($A$1:$A$60),1),"ABCDEFGHIJKLMNOPQRSTUVWXYZabcdefghijklmnopqrstuvwxyzČĆĐŠŽčćđšž -'")))=0,0,1)+IF(SUMPRODUCT(--ISERROR(FIND(MID($O31&amp;REPT("a",60),ROW($A$1:$A$60),1),"ABCDEFGHIJKLMNOPQRSTUVWXYZabcdefghijklmnopqrstuvwxyzČĆĐŠŽčćđšž -'")))=0,0,1)&gt;0,"Ime sadrži znakove koji nisu slova",IF(COUNTA($G31,$J31,$M31,$P31)&lt;&gt;COUNTA($F31,$I31,$L31,$O31),"Nedostaje pol za nekog od članova",IF(COUNTA($F31,$I31,$L31,$O31)&lt;VLOOKUP($A31,ekipe,2,FALSE),"Ekipa mora imati najmanje "&amp;VLOOKUP($A31,ekipe,2,FALSE)&amp;" člana",IF(COUNTA($F31,$I31,$L31,$O31)&gt;VLOOKUP($A31,ekipe,3,FALSE),"Ekipa može imati najviše "&amp;VLOOKUP($A31,ekipe,3,FALSE)&amp;" člana",IF($B31="","Nedostaje vrsta ekipe","prijava je kompletna")))))))))))</f>
        <v/>
      </c>
      <c r="R31">
        <f>IF($C31="","sve_ekipne","tdisc_"&amp;$C31)</f>
        <v/>
      </c>
    </row>
    <row r="32" spans="1:18">
      <c r="A32" s="5"/>
      <c r="B32" s="5"/>
      <c r="C32" s="7">
        <f>IF($E32="","",LOOKUP($E32,INDEX(grupe,0,1),INDEX(grupe,0,2)))</f>
        <v/>
      </c>
      <c r="D32" s="7">
        <f>IF($C32="","",VLOOKUP($C32,INDEX(grupe,0,2):INDEX(grupe,0,3),2,FALSE))</f>
        <v/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8">
        <f>IF(COUNTA($A32:$B32,$E32,$H32,$K32,$N32,$F32,$I32,$L32,$O32)=0,"",IF($A32="","Nedostaje disciplina",IF($E32="","Nedostaje godište prvog člana",IF($C32="","Godište nije obuhvaćeno uzrasnom tabelom",IF(COUNTIF(INDIRECT("tdisc_"&amp;$C32),$A32)=0,"Disciplina nije moguća za uzrast "&amp;$C32,IF(IF($E32="",0,IF(LOOKUP($E32,INDEX(grupe,0,1),INDEX(grupe,0,2))=$C32,0,1))+IF($H32="",0,IF(LOOKUP($H32,INDEX(grupe,0,1),INDEX(grupe,0,2))=$C32,0,1))+IF($K32="",0,IF(LOOKUP($K32,INDEX(grupe,0,1),INDEX(grupe,0,2))=$C32,0,1))+IF($N32="",0,IF(LOOKUP($N32,INDEX(grupe,0,1),INDEX(grupe,0,2))=$C32,0,1))&gt;0,"Članovi ekipe nisu iz iste uzrasne grupe",IF(COUNTA($F32,$I32,$L32,$O32)&lt;&gt;COUNTA($E32,$H32,$K32,$N32),"Za svakog člana potrebni su i godište i ime",IF(IF(SUMPRODUCT(--ISERROR(FIND(MID($F32&amp;REPT("a",60),ROW($A$1:$A$60),1),"ABCDEFGHIJKLMNOPQRSTUVWXYZabcdefghijklmnopqrstuvwxyzČĆĐŠŽčćđšž -'")))=0,0,1)+IF(SUMPRODUCT(--ISERROR(FIND(MID($I32&amp;REPT("a",60),ROW($A$1:$A$60),1),"ABCDEFGHIJKLMNOPQRSTUVWXYZabcdefghijklmnopqrstuvwxyzČĆĐŠŽčćđšž -'")))=0,0,1)+IF(SUMPRODUCT(--ISERROR(FIND(MID($L32&amp;REPT("a",60),ROW($A$1:$A$60),1),"ABCDEFGHIJKLMNOPQRSTUVWXYZabcdefghijklmnopqrstuvwxyzČĆĐŠŽčćđšž -'")))=0,0,1)+IF(SUMPRODUCT(--ISERROR(FIND(MID($O32&amp;REPT("a",60),ROW($A$1:$A$60),1),"ABCDEFGHIJKLMNOPQRSTUVWXYZabcdefghijklmnopqrstuvwxyzČĆĐŠŽčćđšž -'")))=0,0,1)&gt;0,"Ime sadrži znakove koji nisu slova",IF(COUNTA($G32,$J32,$M32,$P32)&lt;&gt;COUNTA($F32,$I32,$L32,$O32),"Nedostaje pol za nekog od članova",IF(COUNTA($F32,$I32,$L32,$O32)&lt;VLOOKUP($A32,ekipe,2,FALSE),"Ekipa mora imati najmanje "&amp;VLOOKUP($A32,ekipe,2,FALSE)&amp;" člana",IF(COUNTA($F32,$I32,$L32,$O32)&gt;VLOOKUP($A32,ekipe,3,FALSE),"Ekipa može imati najviše "&amp;VLOOKUP($A32,ekipe,3,FALSE)&amp;" člana",IF($B32="","Nedostaje vrsta ekipe","prijava je kompletna")))))))))))</f>
        <v/>
      </c>
      <c r="R32">
        <f>IF($C32="","sve_ekipne","tdisc_"&amp;$C32)</f>
        <v/>
      </c>
    </row>
    <row r="33" spans="1:18">
      <c r="A33" s="5"/>
      <c r="B33" s="5"/>
      <c r="C33" s="7">
        <f>IF($E33="","",LOOKUP($E33,INDEX(grupe,0,1),INDEX(grupe,0,2)))</f>
        <v/>
      </c>
      <c r="D33" s="7">
        <f>IF($C33="","",VLOOKUP($C33,INDEX(grupe,0,2):INDEX(grupe,0,3),2,FALSE))</f>
        <v/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8">
        <f>IF(COUNTA($A33:$B33,$E33,$H33,$K33,$N33,$F33,$I33,$L33,$O33)=0,"",IF($A33="","Nedostaje disciplina",IF($E33="","Nedostaje godište prvog člana",IF($C33="","Godište nije obuhvaćeno uzrasnom tabelom",IF(COUNTIF(INDIRECT("tdisc_"&amp;$C33),$A33)=0,"Disciplina nije moguća za uzrast "&amp;$C33,IF(IF($E33="",0,IF(LOOKUP($E33,INDEX(grupe,0,1),INDEX(grupe,0,2))=$C33,0,1))+IF($H33="",0,IF(LOOKUP($H33,INDEX(grupe,0,1),INDEX(grupe,0,2))=$C33,0,1))+IF($K33="",0,IF(LOOKUP($K33,INDEX(grupe,0,1),INDEX(grupe,0,2))=$C33,0,1))+IF($N33="",0,IF(LOOKUP($N33,INDEX(grupe,0,1),INDEX(grupe,0,2))=$C33,0,1))&gt;0,"Članovi ekipe nisu iz iste uzrasne grupe",IF(COUNTA($F33,$I33,$L33,$O33)&lt;&gt;COUNTA($E33,$H33,$K33,$N33),"Za svakog člana potrebni su i godište i ime",IF(IF(SUMPRODUCT(--ISERROR(FIND(MID($F33&amp;REPT("a",60),ROW($A$1:$A$60),1),"ABCDEFGHIJKLMNOPQRSTUVWXYZabcdefghijklmnopqrstuvwxyzČĆĐŠŽčćđšž -'")))=0,0,1)+IF(SUMPRODUCT(--ISERROR(FIND(MID($I33&amp;REPT("a",60),ROW($A$1:$A$60),1),"ABCDEFGHIJKLMNOPQRSTUVWXYZabcdefghijklmnopqrstuvwxyzČĆĐŠŽčćđšž -'")))=0,0,1)+IF(SUMPRODUCT(--ISERROR(FIND(MID($L33&amp;REPT("a",60),ROW($A$1:$A$60),1),"ABCDEFGHIJKLMNOPQRSTUVWXYZabcdefghijklmnopqrstuvwxyzČĆĐŠŽčćđšž -'")))=0,0,1)+IF(SUMPRODUCT(--ISERROR(FIND(MID($O33&amp;REPT("a",60),ROW($A$1:$A$60),1),"ABCDEFGHIJKLMNOPQRSTUVWXYZabcdefghijklmnopqrstuvwxyzČĆĐŠŽčćđšž -'")))=0,0,1)&gt;0,"Ime sadrži znakove koji nisu slova",IF(COUNTA($G33,$J33,$M33,$P33)&lt;&gt;COUNTA($F33,$I33,$L33,$O33),"Nedostaje pol za nekog od članova",IF(COUNTA($F33,$I33,$L33,$O33)&lt;VLOOKUP($A33,ekipe,2,FALSE),"Ekipa mora imati najmanje "&amp;VLOOKUP($A33,ekipe,2,FALSE)&amp;" člana",IF(COUNTA($F33,$I33,$L33,$O33)&gt;VLOOKUP($A33,ekipe,3,FALSE),"Ekipa može imati najviše "&amp;VLOOKUP($A33,ekipe,3,FALSE)&amp;" člana",IF($B33="","Nedostaje vrsta ekipe","prijava je kompletna")))))))))))</f>
        <v/>
      </c>
      <c r="R33">
        <f>IF($C33="","sve_ekipne","tdisc_"&amp;$C33)</f>
        <v/>
      </c>
    </row>
    <row r="34" spans="1:18">
      <c r="A34" s="5"/>
      <c r="B34" s="5"/>
      <c r="C34" s="7">
        <f>IF($E34="","",LOOKUP($E34,INDEX(grupe,0,1),INDEX(grupe,0,2)))</f>
        <v/>
      </c>
      <c r="D34" s="7">
        <f>IF($C34="","",VLOOKUP($C34,INDEX(grupe,0,2):INDEX(grupe,0,3),2,FALSE))</f>
        <v/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8">
        <f>IF(COUNTA($A34:$B34,$E34,$H34,$K34,$N34,$F34,$I34,$L34,$O34)=0,"",IF($A34="","Nedostaje disciplina",IF($E34="","Nedostaje godište prvog člana",IF($C34="","Godište nije obuhvaćeno uzrasnom tabelom",IF(COUNTIF(INDIRECT("tdisc_"&amp;$C34),$A34)=0,"Disciplina nije moguća za uzrast "&amp;$C34,IF(IF($E34="",0,IF(LOOKUP($E34,INDEX(grupe,0,1),INDEX(grupe,0,2))=$C34,0,1))+IF($H34="",0,IF(LOOKUP($H34,INDEX(grupe,0,1),INDEX(grupe,0,2))=$C34,0,1))+IF($K34="",0,IF(LOOKUP($K34,INDEX(grupe,0,1),INDEX(grupe,0,2))=$C34,0,1))+IF($N34="",0,IF(LOOKUP($N34,INDEX(grupe,0,1),INDEX(grupe,0,2))=$C34,0,1))&gt;0,"Članovi ekipe nisu iz iste uzrasne grupe",IF(COUNTA($F34,$I34,$L34,$O34)&lt;&gt;COUNTA($E34,$H34,$K34,$N34),"Za svakog člana potrebni su i godište i ime",IF(IF(SUMPRODUCT(--ISERROR(FIND(MID($F34&amp;REPT("a",60),ROW($A$1:$A$60),1),"ABCDEFGHIJKLMNOPQRSTUVWXYZabcdefghijklmnopqrstuvwxyzČĆĐŠŽčćđšž -'")))=0,0,1)+IF(SUMPRODUCT(--ISERROR(FIND(MID($I34&amp;REPT("a",60),ROW($A$1:$A$60),1),"ABCDEFGHIJKLMNOPQRSTUVWXYZabcdefghijklmnopqrstuvwxyzČĆĐŠŽčćđšž -'")))=0,0,1)+IF(SUMPRODUCT(--ISERROR(FIND(MID($L34&amp;REPT("a",60),ROW($A$1:$A$60),1),"ABCDEFGHIJKLMNOPQRSTUVWXYZabcdefghijklmnopqrstuvwxyzČĆĐŠŽčćđšž -'")))=0,0,1)+IF(SUMPRODUCT(--ISERROR(FIND(MID($O34&amp;REPT("a",60),ROW($A$1:$A$60),1),"ABCDEFGHIJKLMNOPQRSTUVWXYZabcdefghijklmnopqrstuvwxyzČĆĐŠŽčćđšž -'")))=0,0,1)&gt;0,"Ime sadrži znakove koji nisu slova",IF(COUNTA($G34,$J34,$M34,$P34)&lt;&gt;COUNTA($F34,$I34,$L34,$O34),"Nedostaje pol za nekog od članova",IF(COUNTA($F34,$I34,$L34,$O34)&lt;VLOOKUP($A34,ekipe,2,FALSE),"Ekipa mora imati najmanje "&amp;VLOOKUP($A34,ekipe,2,FALSE)&amp;" člana",IF(COUNTA($F34,$I34,$L34,$O34)&gt;VLOOKUP($A34,ekipe,3,FALSE),"Ekipa može imati najviše "&amp;VLOOKUP($A34,ekipe,3,FALSE)&amp;" člana",IF($B34="","Nedostaje vrsta ekipe","prijava je kompletna")))))))))))</f>
        <v/>
      </c>
      <c r="R34">
        <f>IF($C34="","sve_ekipne","tdisc_"&amp;$C34)</f>
        <v/>
      </c>
    </row>
    <row r="35" spans="1:18">
      <c r="A35" s="5"/>
      <c r="B35" s="5"/>
      <c r="C35" s="7">
        <f>IF($E35="","",LOOKUP($E35,INDEX(grupe,0,1),INDEX(grupe,0,2)))</f>
        <v/>
      </c>
      <c r="D35" s="7">
        <f>IF($C35="","",VLOOKUP($C35,INDEX(grupe,0,2):INDEX(grupe,0,3),2,FALSE))</f>
        <v/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8">
        <f>IF(COUNTA($A35:$B35,$E35,$H35,$K35,$N35,$F35,$I35,$L35,$O35)=0,"",IF($A35="","Nedostaje disciplina",IF($E35="","Nedostaje godište prvog člana",IF($C35="","Godište nije obuhvaćeno uzrasnom tabelom",IF(COUNTIF(INDIRECT("tdisc_"&amp;$C35),$A35)=0,"Disciplina nije moguća za uzrast "&amp;$C35,IF(IF($E35="",0,IF(LOOKUP($E35,INDEX(grupe,0,1),INDEX(grupe,0,2))=$C35,0,1))+IF($H35="",0,IF(LOOKUP($H35,INDEX(grupe,0,1),INDEX(grupe,0,2))=$C35,0,1))+IF($K35="",0,IF(LOOKUP($K35,INDEX(grupe,0,1),INDEX(grupe,0,2))=$C35,0,1))+IF($N35="",0,IF(LOOKUP($N35,INDEX(grupe,0,1),INDEX(grupe,0,2))=$C35,0,1))&gt;0,"Članovi ekipe nisu iz iste uzrasne grupe",IF(COUNTA($F35,$I35,$L35,$O35)&lt;&gt;COUNTA($E35,$H35,$K35,$N35),"Za svakog člana potrebni su i godište i ime",IF(IF(SUMPRODUCT(--ISERROR(FIND(MID($F35&amp;REPT("a",60),ROW($A$1:$A$60),1),"ABCDEFGHIJKLMNOPQRSTUVWXYZabcdefghijklmnopqrstuvwxyzČĆĐŠŽčćđšž -'")))=0,0,1)+IF(SUMPRODUCT(--ISERROR(FIND(MID($I35&amp;REPT("a",60),ROW($A$1:$A$60),1),"ABCDEFGHIJKLMNOPQRSTUVWXYZabcdefghijklmnopqrstuvwxyzČĆĐŠŽčćđšž -'")))=0,0,1)+IF(SUMPRODUCT(--ISERROR(FIND(MID($L35&amp;REPT("a",60),ROW($A$1:$A$60),1),"ABCDEFGHIJKLMNOPQRSTUVWXYZabcdefghijklmnopqrstuvwxyzČĆĐŠŽčćđšž -'")))=0,0,1)+IF(SUMPRODUCT(--ISERROR(FIND(MID($O35&amp;REPT("a",60),ROW($A$1:$A$60),1),"ABCDEFGHIJKLMNOPQRSTUVWXYZabcdefghijklmnopqrstuvwxyzČĆĐŠŽčćđšž -'")))=0,0,1)&gt;0,"Ime sadrži znakove koji nisu slova",IF(COUNTA($G35,$J35,$M35,$P35)&lt;&gt;COUNTA($F35,$I35,$L35,$O35),"Nedostaje pol za nekog od članova",IF(COUNTA($F35,$I35,$L35,$O35)&lt;VLOOKUP($A35,ekipe,2,FALSE),"Ekipa mora imati najmanje "&amp;VLOOKUP($A35,ekipe,2,FALSE)&amp;" člana",IF(COUNTA($F35,$I35,$L35,$O35)&gt;VLOOKUP($A35,ekipe,3,FALSE),"Ekipa može imati najviše "&amp;VLOOKUP($A35,ekipe,3,FALSE)&amp;" člana",IF($B35="","Nedostaje vrsta ekipe","prijava je kompletna")))))))))))</f>
        <v/>
      </c>
      <c r="R35">
        <f>IF($C35="","sve_ekipne","tdisc_"&amp;$C35)</f>
        <v/>
      </c>
    </row>
    <row r="36" spans="1:18">
      <c r="A36" s="5"/>
      <c r="B36" s="5"/>
      <c r="C36" s="7">
        <f>IF($E36="","",LOOKUP($E36,INDEX(grupe,0,1),INDEX(grupe,0,2)))</f>
        <v/>
      </c>
      <c r="D36" s="7">
        <f>IF($C36="","",VLOOKUP($C36,INDEX(grupe,0,2):INDEX(grupe,0,3),2,FALSE))</f>
        <v/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8">
        <f>IF(COUNTA($A36:$B36,$E36,$H36,$K36,$N36,$F36,$I36,$L36,$O36)=0,"",IF($A36="","Nedostaje disciplina",IF($E36="","Nedostaje godište prvog člana",IF($C36="","Godište nije obuhvaćeno uzrasnom tabelom",IF(COUNTIF(INDIRECT("tdisc_"&amp;$C36),$A36)=0,"Disciplina nije moguća za uzrast "&amp;$C36,IF(IF($E36="",0,IF(LOOKUP($E36,INDEX(grupe,0,1),INDEX(grupe,0,2))=$C36,0,1))+IF($H36="",0,IF(LOOKUP($H36,INDEX(grupe,0,1),INDEX(grupe,0,2))=$C36,0,1))+IF($K36="",0,IF(LOOKUP($K36,INDEX(grupe,0,1),INDEX(grupe,0,2))=$C36,0,1))+IF($N36="",0,IF(LOOKUP($N36,INDEX(grupe,0,1),INDEX(grupe,0,2))=$C36,0,1))&gt;0,"Članovi ekipe nisu iz iste uzrasne grupe",IF(COUNTA($F36,$I36,$L36,$O36)&lt;&gt;COUNTA($E36,$H36,$K36,$N36),"Za svakog člana potrebni su i godište i ime",IF(IF(SUMPRODUCT(--ISERROR(FIND(MID($F36&amp;REPT("a",60),ROW($A$1:$A$60),1),"ABCDEFGHIJKLMNOPQRSTUVWXYZabcdefghijklmnopqrstuvwxyzČĆĐŠŽčćđšž -'")))=0,0,1)+IF(SUMPRODUCT(--ISERROR(FIND(MID($I36&amp;REPT("a",60),ROW($A$1:$A$60),1),"ABCDEFGHIJKLMNOPQRSTUVWXYZabcdefghijklmnopqrstuvwxyzČĆĐŠŽčćđšž -'")))=0,0,1)+IF(SUMPRODUCT(--ISERROR(FIND(MID($L36&amp;REPT("a",60),ROW($A$1:$A$60),1),"ABCDEFGHIJKLMNOPQRSTUVWXYZabcdefghijklmnopqrstuvwxyzČĆĐŠŽčćđšž -'")))=0,0,1)+IF(SUMPRODUCT(--ISERROR(FIND(MID($O36&amp;REPT("a",60),ROW($A$1:$A$60),1),"ABCDEFGHIJKLMNOPQRSTUVWXYZabcdefghijklmnopqrstuvwxyzČĆĐŠŽčćđšž -'")))=0,0,1)&gt;0,"Ime sadrži znakove koji nisu slova",IF(COUNTA($G36,$J36,$M36,$P36)&lt;&gt;COUNTA($F36,$I36,$L36,$O36),"Nedostaje pol za nekog od članova",IF(COUNTA($F36,$I36,$L36,$O36)&lt;VLOOKUP($A36,ekipe,2,FALSE),"Ekipa mora imati najmanje "&amp;VLOOKUP($A36,ekipe,2,FALSE)&amp;" člana",IF(COUNTA($F36,$I36,$L36,$O36)&gt;VLOOKUP($A36,ekipe,3,FALSE),"Ekipa može imati najviše "&amp;VLOOKUP($A36,ekipe,3,FALSE)&amp;" člana",IF($B36="","Nedostaje vrsta ekipe","prijava je kompletna")))))))))))</f>
        <v/>
      </c>
      <c r="R36">
        <f>IF($C36="","sve_ekipne","tdisc_"&amp;$C36)</f>
        <v/>
      </c>
    </row>
    <row r="37" spans="1:18">
      <c r="A37" s="5"/>
      <c r="B37" s="5"/>
      <c r="C37" s="7">
        <f>IF($E37="","",LOOKUP($E37,INDEX(grupe,0,1),INDEX(grupe,0,2)))</f>
        <v/>
      </c>
      <c r="D37" s="7">
        <f>IF($C37="","",VLOOKUP($C37,INDEX(grupe,0,2):INDEX(grupe,0,3),2,FALSE))</f>
        <v/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8">
        <f>IF(COUNTA($A37:$B37,$E37,$H37,$K37,$N37,$F37,$I37,$L37,$O37)=0,"",IF($A37="","Nedostaje disciplina",IF($E37="","Nedostaje godište prvog člana",IF($C37="","Godište nije obuhvaćeno uzrasnom tabelom",IF(COUNTIF(INDIRECT("tdisc_"&amp;$C37),$A37)=0,"Disciplina nije moguća za uzrast "&amp;$C37,IF(IF($E37="",0,IF(LOOKUP($E37,INDEX(grupe,0,1),INDEX(grupe,0,2))=$C37,0,1))+IF($H37="",0,IF(LOOKUP($H37,INDEX(grupe,0,1),INDEX(grupe,0,2))=$C37,0,1))+IF($K37="",0,IF(LOOKUP($K37,INDEX(grupe,0,1),INDEX(grupe,0,2))=$C37,0,1))+IF($N37="",0,IF(LOOKUP($N37,INDEX(grupe,0,1),INDEX(grupe,0,2))=$C37,0,1))&gt;0,"Članovi ekipe nisu iz iste uzrasne grupe",IF(COUNTA($F37,$I37,$L37,$O37)&lt;&gt;COUNTA($E37,$H37,$K37,$N37),"Za svakog člana potrebni su i godište i ime",IF(IF(SUMPRODUCT(--ISERROR(FIND(MID($F37&amp;REPT("a",60),ROW($A$1:$A$60),1),"ABCDEFGHIJKLMNOPQRSTUVWXYZabcdefghijklmnopqrstuvwxyzČĆĐŠŽčćđšž -'")))=0,0,1)+IF(SUMPRODUCT(--ISERROR(FIND(MID($I37&amp;REPT("a",60),ROW($A$1:$A$60),1),"ABCDEFGHIJKLMNOPQRSTUVWXYZabcdefghijklmnopqrstuvwxyzČĆĐŠŽčćđšž -'")))=0,0,1)+IF(SUMPRODUCT(--ISERROR(FIND(MID($L37&amp;REPT("a",60),ROW($A$1:$A$60),1),"ABCDEFGHIJKLMNOPQRSTUVWXYZabcdefghijklmnopqrstuvwxyzČĆĐŠŽčćđšž -'")))=0,0,1)+IF(SUMPRODUCT(--ISERROR(FIND(MID($O37&amp;REPT("a",60),ROW($A$1:$A$60),1),"ABCDEFGHIJKLMNOPQRSTUVWXYZabcdefghijklmnopqrstuvwxyzČĆĐŠŽčćđšž -'")))=0,0,1)&gt;0,"Ime sadrži znakove koji nisu slova",IF(COUNTA($G37,$J37,$M37,$P37)&lt;&gt;COUNTA($F37,$I37,$L37,$O37),"Nedostaje pol za nekog od članova",IF(COUNTA($F37,$I37,$L37,$O37)&lt;VLOOKUP($A37,ekipe,2,FALSE),"Ekipa mora imati najmanje "&amp;VLOOKUP($A37,ekipe,2,FALSE)&amp;" člana",IF(COUNTA($F37,$I37,$L37,$O37)&gt;VLOOKUP($A37,ekipe,3,FALSE),"Ekipa može imati najviše "&amp;VLOOKUP($A37,ekipe,3,FALSE)&amp;" člana",IF($B37="","Nedostaje vrsta ekipe","prijava je kompletna")))))))))))</f>
        <v/>
      </c>
      <c r="R37">
        <f>IF($C37="","sve_ekipne","tdisc_"&amp;$C37)</f>
        <v/>
      </c>
    </row>
    <row r="38" spans="1:18">
      <c r="A38" s="5"/>
      <c r="B38" s="5"/>
      <c r="C38" s="7">
        <f>IF($E38="","",LOOKUP($E38,INDEX(grupe,0,1),INDEX(grupe,0,2)))</f>
        <v/>
      </c>
      <c r="D38" s="7">
        <f>IF($C38="","",VLOOKUP($C38,INDEX(grupe,0,2):INDEX(grupe,0,3),2,FALSE))</f>
        <v/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8">
        <f>IF(COUNTA($A38:$B38,$E38,$H38,$K38,$N38,$F38,$I38,$L38,$O38)=0,"",IF($A38="","Nedostaje disciplina",IF($E38="","Nedostaje godište prvog člana",IF($C38="","Godište nije obuhvaćeno uzrasnom tabelom",IF(COUNTIF(INDIRECT("tdisc_"&amp;$C38),$A38)=0,"Disciplina nije moguća za uzrast "&amp;$C38,IF(IF($E38="",0,IF(LOOKUP($E38,INDEX(grupe,0,1),INDEX(grupe,0,2))=$C38,0,1))+IF($H38="",0,IF(LOOKUP($H38,INDEX(grupe,0,1),INDEX(grupe,0,2))=$C38,0,1))+IF($K38="",0,IF(LOOKUP($K38,INDEX(grupe,0,1),INDEX(grupe,0,2))=$C38,0,1))+IF($N38="",0,IF(LOOKUP($N38,INDEX(grupe,0,1),INDEX(grupe,0,2))=$C38,0,1))&gt;0,"Članovi ekipe nisu iz iste uzrasne grupe",IF(COUNTA($F38,$I38,$L38,$O38)&lt;&gt;COUNTA($E38,$H38,$K38,$N38),"Za svakog člana potrebni su i godište i ime",IF(IF(SUMPRODUCT(--ISERROR(FIND(MID($F38&amp;REPT("a",60),ROW($A$1:$A$60),1),"ABCDEFGHIJKLMNOPQRSTUVWXYZabcdefghijklmnopqrstuvwxyzČĆĐŠŽčćđšž -'")))=0,0,1)+IF(SUMPRODUCT(--ISERROR(FIND(MID($I38&amp;REPT("a",60),ROW($A$1:$A$60),1),"ABCDEFGHIJKLMNOPQRSTUVWXYZabcdefghijklmnopqrstuvwxyzČĆĐŠŽčćđšž -'")))=0,0,1)+IF(SUMPRODUCT(--ISERROR(FIND(MID($L38&amp;REPT("a",60),ROW($A$1:$A$60),1),"ABCDEFGHIJKLMNOPQRSTUVWXYZabcdefghijklmnopqrstuvwxyzČĆĐŠŽčćđšž -'")))=0,0,1)+IF(SUMPRODUCT(--ISERROR(FIND(MID($O38&amp;REPT("a",60),ROW($A$1:$A$60),1),"ABCDEFGHIJKLMNOPQRSTUVWXYZabcdefghijklmnopqrstuvwxyzČĆĐŠŽčćđšž -'")))=0,0,1)&gt;0,"Ime sadrži znakove koji nisu slova",IF(COUNTA($G38,$J38,$M38,$P38)&lt;&gt;COUNTA($F38,$I38,$L38,$O38),"Nedostaje pol za nekog od članova",IF(COUNTA($F38,$I38,$L38,$O38)&lt;VLOOKUP($A38,ekipe,2,FALSE),"Ekipa mora imati najmanje "&amp;VLOOKUP($A38,ekipe,2,FALSE)&amp;" člana",IF(COUNTA($F38,$I38,$L38,$O38)&gt;VLOOKUP($A38,ekipe,3,FALSE),"Ekipa može imati najviše "&amp;VLOOKUP($A38,ekipe,3,FALSE)&amp;" člana",IF($B38="","Nedostaje vrsta ekipe","prijava je kompletna")))))))))))</f>
        <v/>
      </c>
      <c r="R38">
        <f>IF($C38="","sve_ekipne","tdisc_"&amp;$C38)</f>
        <v/>
      </c>
    </row>
    <row r="39" spans="1:18">
      <c r="A39" s="5"/>
      <c r="B39" s="5"/>
      <c r="C39" s="7">
        <f>IF($E39="","",LOOKUP($E39,INDEX(grupe,0,1),INDEX(grupe,0,2)))</f>
        <v/>
      </c>
      <c r="D39" s="7">
        <f>IF($C39="","",VLOOKUP($C39,INDEX(grupe,0,2):INDEX(grupe,0,3),2,FALSE))</f>
        <v/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8">
        <f>IF(COUNTA($A39:$B39,$E39,$H39,$K39,$N39,$F39,$I39,$L39,$O39)=0,"",IF($A39="","Nedostaje disciplina",IF($E39="","Nedostaje godište prvog člana",IF($C39="","Godište nije obuhvaćeno uzrasnom tabelom",IF(COUNTIF(INDIRECT("tdisc_"&amp;$C39),$A39)=0,"Disciplina nije moguća za uzrast "&amp;$C39,IF(IF($E39="",0,IF(LOOKUP($E39,INDEX(grupe,0,1),INDEX(grupe,0,2))=$C39,0,1))+IF($H39="",0,IF(LOOKUP($H39,INDEX(grupe,0,1),INDEX(grupe,0,2))=$C39,0,1))+IF($K39="",0,IF(LOOKUP($K39,INDEX(grupe,0,1),INDEX(grupe,0,2))=$C39,0,1))+IF($N39="",0,IF(LOOKUP($N39,INDEX(grupe,0,1),INDEX(grupe,0,2))=$C39,0,1))&gt;0,"Članovi ekipe nisu iz iste uzrasne grupe",IF(COUNTA($F39,$I39,$L39,$O39)&lt;&gt;COUNTA($E39,$H39,$K39,$N39),"Za svakog člana potrebni su i godište i ime",IF(IF(SUMPRODUCT(--ISERROR(FIND(MID($F39&amp;REPT("a",60),ROW($A$1:$A$60),1),"ABCDEFGHIJKLMNOPQRSTUVWXYZabcdefghijklmnopqrstuvwxyzČĆĐŠŽčćđšž -'")))=0,0,1)+IF(SUMPRODUCT(--ISERROR(FIND(MID($I39&amp;REPT("a",60),ROW($A$1:$A$60),1),"ABCDEFGHIJKLMNOPQRSTUVWXYZabcdefghijklmnopqrstuvwxyzČĆĐŠŽčćđšž -'")))=0,0,1)+IF(SUMPRODUCT(--ISERROR(FIND(MID($L39&amp;REPT("a",60),ROW($A$1:$A$60),1),"ABCDEFGHIJKLMNOPQRSTUVWXYZabcdefghijklmnopqrstuvwxyzČĆĐŠŽčćđšž -'")))=0,0,1)+IF(SUMPRODUCT(--ISERROR(FIND(MID($O39&amp;REPT("a",60),ROW($A$1:$A$60),1),"ABCDEFGHIJKLMNOPQRSTUVWXYZabcdefghijklmnopqrstuvwxyzČĆĐŠŽčćđšž -'")))=0,0,1)&gt;0,"Ime sadrži znakove koji nisu slova",IF(COUNTA($G39,$J39,$M39,$P39)&lt;&gt;COUNTA($F39,$I39,$L39,$O39),"Nedostaje pol za nekog od članova",IF(COUNTA($F39,$I39,$L39,$O39)&lt;VLOOKUP($A39,ekipe,2,FALSE),"Ekipa mora imati najmanje "&amp;VLOOKUP($A39,ekipe,2,FALSE)&amp;" člana",IF(COUNTA($F39,$I39,$L39,$O39)&gt;VLOOKUP($A39,ekipe,3,FALSE),"Ekipa može imati najviše "&amp;VLOOKUP($A39,ekipe,3,FALSE)&amp;" člana",IF($B39="","Nedostaje vrsta ekipe","prijava je kompletna")))))))))))</f>
        <v/>
      </c>
      <c r="R39">
        <f>IF($C39="","sve_ekipne","tdisc_"&amp;$C39)</f>
        <v/>
      </c>
    </row>
    <row r="40" spans="1:18">
      <c r="A40" s="5"/>
      <c r="B40" s="5"/>
      <c r="C40" s="7">
        <f>IF($E40="","",LOOKUP($E40,INDEX(grupe,0,1),INDEX(grupe,0,2)))</f>
        <v/>
      </c>
      <c r="D40" s="7">
        <f>IF($C40="","",VLOOKUP($C40,INDEX(grupe,0,2):INDEX(grupe,0,3),2,FALSE))</f>
        <v/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8">
        <f>IF(COUNTA($A40:$B40,$E40,$H40,$K40,$N40,$F40,$I40,$L40,$O40)=0,"",IF($A40="","Nedostaje disciplina",IF($E40="","Nedostaje godište prvog člana",IF($C40="","Godište nije obuhvaćeno uzrasnom tabelom",IF(COUNTIF(INDIRECT("tdisc_"&amp;$C40),$A40)=0,"Disciplina nije moguća za uzrast "&amp;$C40,IF(IF($E40="",0,IF(LOOKUP($E40,INDEX(grupe,0,1),INDEX(grupe,0,2))=$C40,0,1))+IF($H40="",0,IF(LOOKUP($H40,INDEX(grupe,0,1),INDEX(grupe,0,2))=$C40,0,1))+IF($K40="",0,IF(LOOKUP($K40,INDEX(grupe,0,1),INDEX(grupe,0,2))=$C40,0,1))+IF($N40="",0,IF(LOOKUP($N40,INDEX(grupe,0,1),INDEX(grupe,0,2))=$C40,0,1))&gt;0,"Članovi ekipe nisu iz iste uzrasne grupe",IF(COUNTA($F40,$I40,$L40,$O40)&lt;&gt;COUNTA($E40,$H40,$K40,$N40),"Za svakog člana potrebni su i godište i ime",IF(IF(SUMPRODUCT(--ISERROR(FIND(MID($F40&amp;REPT("a",60),ROW($A$1:$A$60),1),"ABCDEFGHIJKLMNOPQRSTUVWXYZabcdefghijklmnopqrstuvwxyzČĆĐŠŽčćđšž -'")))=0,0,1)+IF(SUMPRODUCT(--ISERROR(FIND(MID($I40&amp;REPT("a",60),ROW($A$1:$A$60),1),"ABCDEFGHIJKLMNOPQRSTUVWXYZabcdefghijklmnopqrstuvwxyzČĆĐŠŽčćđšž -'")))=0,0,1)+IF(SUMPRODUCT(--ISERROR(FIND(MID($L40&amp;REPT("a",60),ROW($A$1:$A$60),1),"ABCDEFGHIJKLMNOPQRSTUVWXYZabcdefghijklmnopqrstuvwxyzČĆĐŠŽčćđšž -'")))=0,0,1)+IF(SUMPRODUCT(--ISERROR(FIND(MID($O40&amp;REPT("a",60),ROW($A$1:$A$60),1),"ABCDEFGHIJKLMNOPQRSTUVWXYZabcdefghijklmnopqrstuvwxyzČĆĐŠŽčćđšž -'")))=0,0,1)&gt;0,"Ime sadrži znakove koji nisu slova",IF(COUNTA($G40,$J40,$M40,$P40)&lt;&gt;COUNTA($F40,$I40,$L40,$O40),"Nedostaje pol za nekog od članova",IF(COUNTA($F40,$I40,$L40,$O40)&lt;VLOOKUP($A40,ekipe,2,FALSE),"Ekipa mora imati najmanje "&amp;VLOOKUP($A40,ekipe,2,FALSE)&amp;" člana",IF(COUNTA($F40,$I40,$L40,$O40)&gt;VLOOKUP($A40,ekipe,3,FALSE),"Ekipa može imati najviše "&amp;VLOOKUP($A40,ekipe,3,FALSE)&amp;" člana",IF($B40="","Nedostaje vrsta ekipe","prijava je kompletna")))))))))))</f>
        <v/>
      </c>
      <c r="R40">
        <f>IF($C40="","sve_ekipne","tdisc_"&amp;$C40)</f>
        <v/>
      </c>
    </row>
    <row r="41" spans="1:18">
      <c r="A41" s="5"/>
      <c r="B41" s="5"/>
      <c r="C41" s="7">
        <f>IF($E41="","",LOOKUP($E41,INDEX(grupe,0,1),INDEX(grupe,0,2)))</f>
        <v/>
      </c>
      <c r="D41" s="7">
        <f>IF($C41="","",VLOOKUP($C41,INDEX(grupe,0,2):INDEX(grupe,0,3),2,FALSE))</f>
        <v/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8">
        <f>IF(COUNTA($A41:$B41,$E41,$H41,$K41,$N41,$F41,$I41,$L41,$O41)=0,"",IF($A41="","Nedostaje disciplina",IF($E41="","Nedostaje godište prvog člana",IF($C41="","Godište nije obuhvaćeno uzrasnom tabelom",IF(COUNTIF(INDIRECT("tdisc_"&amp;$C41),$A41)=0,"Disciplina nije moguća za uzrast "&amp;$C41,IF(IF($E41="",0,IF(LOOKUP($E41,INDEX(grupe,0,1),INDEX(grupe,0,2))=$C41,0,1))+IF($H41="",0,IF(LOOKUP($H41,INDEX(grupe,0,1),INDEX(grupe,0,2))=$C41,0,1))+IF($K41="",0,IF(LOOKUP($K41,INDEX(grupe,0,1),INDEX(grupe,0,2))=$C41,0,1))+IF($N41="",0,IF(LOOKUP($N41,INDEX(grupe,0,1),INDEX(grupe,0,2))=$C41,0,1))&gt;0,"Članovi ekipe nisu iz iste uzrasne grupe",IF(COUNTA($F41,$I41,$L41,$O41)&lt;&gt;COUNTA($E41,$H41,$K41,$N41),"Za svakog člana potrebni su i godište i ime",IF(IF(SUMPRODUCT(--ISERROR(FIND(MID($F41&amp;REPT("a",60),ROW($A$1:$A$60),1),"ABCDEFGHIJKLMNOPQRSTUVWXYZabcdefghijklmnopqrstuvwxyzČĆĐŠŽčćđšž -'")))=0,0,1)+IF(SUMPRODUCT(--ISERROR(FIND(MID($I41&amp;REPT("a",60),ROW($A$1:$A$60),1),"ABCDEFGHIJKLMNOPQRSTUVWXYZabcdefghijklmnopqrstuvwxyzČĆĐŠŽčćđšž -'")))=0,0,1)+IF(SUMPRODUCT(--ISERROR(FIND(MID($L41&amp;REPT("a",60),ROW($A$1:$A$60),1),"ABCDEFGHIJKLMNOPQRSTUVWXYZabcdefghijklmnopqrstuvwxyzČĆĐŠŽčćđšž -'")))=0,0,1)+IF(SUMPRODUCT(--ISERROR(FIND(MID($O41&amp;REPT("a",60),ROW($A$1:$A$60),1),"ABCDEFGHIJKLMNOPQRSTUVWXYZabcdefghijklmnopqrstuvwxyzČĆĐŠŽčćđšž -'")))=0,0,1)&gt;0,"Ime sadrži znakove koji nisu slova",IF(COUNTA($G41,$J41,$M41,$P41)&lt;&gt;COUNTA($F41,$I41,$L41,$O41),"Nedostaje pol za nekog od članova",IF(COUNTA($F41,$I41,$L41,$O41)&lt;VLOOKUP($A41,ekipe,2,FALSE),"Ekipa mora imati najmanje "&amp;VLOOKUP($A41,ekipe,2,FALSE)&amp;" člana",IF(COUNTA($F41,$I41,$L41,$O41)&gt;VLOOKUP($A41,ekipe,3,FALSE),"Ekipa može imati najviše "&amp;VLOOKUP($A41,ekipe,3,FALSE)&amp;" člana",IF($B41="","Nedostaje vrsta ekipe","prijava je kompletna")))))))))))</f>
        <v/>
      </c>
      <c r="R41">
        <f>IF($C41="","sve_ekipne","tdisc_"&amp;$C41)</f>
        <v/>
      </c>
    </row>
    <row r="42" spans="1:18">
      <c r="A42" s="5"/>
      <c r="B42" s="5"/>
      <c r="C42" s="7">
        <f>IF($E42="","",LOOKUP($E42,INDEX(grupe,0,1),INDEX(grupe,0,2)))</f>
        <v/>
      </c>
      <c r="D42" s="7">
        <f>IF($C42="","",VLOOKUP($C42,INDEX(grupe,0,2):INDEX(grupe,0,3),2,FALSE))</f>
        <v/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8">
        <f>IF(COUNTA($A42:$B42,$E42,$H42,$K42,$N42,$F42,$I42,$L42,$O42)=0,"",IF($A42="","Nedostaje disciplina",IF($E42="","Nedostaje godište prvog člana",IF($C42="","Godište nije obuhvaćeno uzrasnom tabelom",IF(COUNTIF(INDIRECT("tdisc_"&amp;$C42),$A42)=0,"Disciplina nije moguća za uzrast "&amp;$C42,IF(IF($E42="",0,IF(LOOKUP($E42,INDEX(grupe,0,1),INDEX(grupe,0,2))=$C42,0,1))+IF($H42="",0,IF(LOOKUP($H42,INDEX(grupe,0,1),INDEX(grupe,0,2))=$C42,0,1))+IF($K42="",0,IF(LOOKUP($K42,INDEX(grupe,0,1),INDEX(grupe,0,2))=$C42,0,1))+IF($N42="",0,IF(LOOKUP($N42,INDEX(grupe,0,1),INDEX(grupe,0,2))=$C42,0,1))&gt;0,"Članovi ekipe nisu iz iste uzrasne grupe",IF(COUNTA($F42,$I42,$L42,$O42)&lt;&gt;COUNTA($E42,$H42,$K42,$N42),"Za svakog člana potrebni su i godište i ime",IF(IF(SUMPRODUCT(--ISERROR(FIND(MID($F42&amp;REPT("a",60),ROW($A$1:$A$60),1),"ABCDEFGHIJKLMNOPQRSTUVWXYZabcdefghijklmnopqrstuvwxyzČĆĐŠŽčćđšž -'")))=0,0,1)+IF(SUMPRODUCT(--ISERROR(FIND(MID($I42&amp;REPT("a",60),ROW($A$1:$A$60),1),"ABCDEFGHIJKLMNOPQRSTUVWXYZabcdefghijklmnopqrstuvwxyzČĆĐŠŽčćđšž -'")))=0,0,1)+IF(SUMPRODUCT(--ISERROR(FIND(MID($L42&amp;REPT("a",60),ROW($A$1:$A$60),1),"ABCDEFGHIJKLMNOPQRSTUVWXYZabcdefghijklmnopqrstuvwxyzČĆĐŠŽčćđšž -'")))=0,0,1)+IF(SUMPRODUCT(--ISERROR(FIND(MID($O42&amp;REPT("a",60),ROW($A$1:$A$60),1),"ABCDEFGHIJKLMNOPQRSTUVWXYZabcdefghijklmnopqrstuvwxyzČĆĐŠŽčćđšž -'")))=0,0,1)&gt;0,"Ime sadrži znakove koji nisu slova",IF(COUNTA($G42,$J42,$M42,$P42)&lt;&gt;COUNTA($F42,$I42,$L42,$O42),"Nedostaje pol za nekog od članova",IF(COUNTA($F42,$I42,$L42,$O42)&lt;VLOOKUP($A42,ekipe,2,FALSE),"Ekipa mora imati najmanje "&amp;VLOOKUP($A42,ekipe,2,FALSE)&amp;" člana",IF(COUNTA($F42,$I42,$L42,$O42)&gt;VLOOKUP($A42,ekipe,3,FALSE),"Ekipa može imati najviše "&amp;VLOOKUP($A42,ekipe,3,FALSE)&amp;" člana",IF($B42="","Nedostaje vrsta ekipe","prijava je kompletna")))))))))))</f>
        <v/>
      </c>
      <c r="R42">
        <f>IF($C42="","sve_ekipne","tdisc_"&amp;$C42)</f>
        <v/>
      </c>
    </row>
    <row r="43" spans="1:18">
      <c r="A43" s="5"/>
      <c r="B43" s="5"/>
      <c r="C43" s="7">
        <f>IF($E43="","",LOOKUP($E43,INDEX(grupe,0,1),INDEX(grupe,0,2)))</f>
        <v/>
      </c>
      <c r="D43" s="7">
        <f>IF($C43="","",VLOOKUP($C43,INDEX(grupe,0,2):INDEX(grupe,0,3),2,FALSE))</f>
        <v/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8">
        <f>IF(COUNTA($A43:$B43,$E43,$H43,$K43,$N43,$F43,$I43,$L43,$O43)=0,"",IF($A43="","Nedostaje disciplina",IF($E43="","Nedostaje godište prvog člana",IF($C43="","Godište nije obuhvaćeno uzrasnom tabelom",IF(COUNTIF(INDIRECT("tdisc_"&amp;$C43),$A43)=0,"Disciplina nije moguća za uzrast "&amp;$C43,IF(IF($E43="",0,IF(LOOKUP($E43,INDEX(grupe,0,1),INDEX(grupe,0,2))=$C43,0,1))+IF($H43="",0,IF(LOOKUP($H43,INDEX(grupe,0,1),INDEX(grupe,0,2))=$C43,0,1))+IF($K43="",0,IF(LOOKUP($K43,INDEX(grupe,0,1),INDEX(grupe,0,2))=$C43,0,1))+IF($N43="",0,IF(LOOKUP($N43,INDEX(grupe,0,1),INDEX(grupe,0,2))=$C43,0,1))&gt;0,"Članovi ekipe nisu iz iste uzrasne grupe",IF(COUNTA($F43,$I43,$L43,$O43)&lt;&gt;COUNTA($E43,$H43,$K43,$N43),"Za svakog člana potrebni su i godište i ime",IF(IF(SUMPRODUCT(--ISERROR(FIND(MID($F43&amp;REPT("a",60),ROW($A$1:$A$60),1),"ABCDEFGHIJKLMNOPQRSTUVWXYZabcdefghijklmnopqrstuvwxyzČĆĐŠŽčćđšž -'")))=0,0,1)+IF(SUMPRODUCT(--ISERROR(FIND(MID($I43&amp;REPT("a",60),ROW($A$1:$A$60),1),"ABCDEFGHIJKLMNOPQRSTUVWXYZabcdefghijklmnopqrstuvwxyzČĆĐŠŽčćđšž -'")))=0,0,1)+IF(SUMPRODUCT(--ISERROR(FIND(MID($L43&amp;REPT("a",60),ROW($A$1:$A$60),1),"ABCDEFGHIJKLMNOPQRSTUVWXYZabcdefghijklmnopqrstuvwxyzČĆĐŠŽčćđšž -'")))=0,0,1)+IF(SUMPRODUCT(--ISERROR(FIND(MID($O43&amp;REPT("a",60),ROW($A$1:$A$60),1),"ABCDEFGHIJKLMNOPQRSTUVWXYZabcdefghijklmnopqrstuvwxyzČĆĐŠŽčćđšž -'")))=0,0,1)&gt;0,"Ime sadrži znakove koji nisu slova",IF(COUNTA($G43,$J43,$M43,$P43)&lt;&gt;COUNTA($F43,$I43,$L43,$O43),"Nedostaje pol za nekog od članova",IF(COUNTA($F43,$I43,$L43,$O43)&lt;VLOOKUP($A43,ekipe,2,FALSE),"Ekipa mora imati najmanje "&amp;VLOOKUP($A43,ekipe,2,FALSE)&amp;" člana",IF(COUNTA($F43,$I43,$L43,$O43)&gt;VLOOKUP($A43,ekipe,3,FALSE),"Ekipa može imati najviše "&amp;VLOOKUP($A43,ekipe,3,FALSE)&amp;" člana",IF($B43="","Nedostaje vrsta ekipe","prijava je kompletna")))))))))))</f>
        <v/>
      </c>
      <c r="R43">
        <f>IF($C43="","sve_ekipne","tdisc_"&amp;$C43)</f>
        <v/>
      </c>
    </row>
    <row r="44" spans="1:18">
      <c r="A44" s="5"/>
      <c r="B44" s="5"/>
      <c r="C44" s="7">
        <f>IF($E44="","",LOOKUP($E44,INDEX(grupe,0,1),INDEX(grupe,0,2)))</f>
        <v/>
      </c>
      <c r="D44" s="7">
        <f>IF($C44="","",VLOOKUP($C44,INDEX(grupe,0,2):INDEX(grupe,0,3),2,FALSE))</f>
        <v/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8">
        <f>IF(COUNTA($A44:$B44,$E44,$H44,$K44,$N44,$F44,$I44,$L44,$O44)=0,"",IF($A44="","Nedostaje disciplina",IF($E44="","Nedostaje godište prvog člana",IF($C44="","Godište nije obuhvaćeno uzrasnom tabelom",IF(COUNTIF(INDIRECT("tdisc_"&amp;$C44),$A44)=0,"Disciplina nije moguća za uzrast "&amp;$C44,IF(IF($E44="",0,IF(LOOKUP($E44,INDEX(grupe,0,1),INDEX(grupe,0,2))=$C44,0,1))+IF($H44="",0,IF(LOOKUP($H44,INDEX(grupe,0,1),INDEX(grupe,0,2))=$C44,0,1))+IF($K44="",0,IF(LOOKUP($K44,INDEX(grupe,0,1),INDEX(grupe,0,2))=$C44,0,1))+IF($N44="",0,IF(LOOKUP($N44,INDEX(grupe,0,1),INDEX(grupe,0,2))=$C44,0,1))&gt;0,"Članovi ekipe nisu iz iste uzrasne grupe",IF(COUNTA($F44,$I44,$L44,$O44)&lt;&gt;COUNTA($E44,$H44,$K44,$N44),"Za svakog člana potrebni su i godište i ime",IF(IF(SUMPRODUCT(--ISERROR(FIND(MID($F44&amp;REPT("a",60),ROW($A$1:$A$60),1),"ABCDEFGHIJKLMNOPQRSTUVWXYZabcdefghijklmnopqrstuvwxyzČĆĐŠŽčćđšž -'")))=0,0,1)+IF(SUMPRODUCT(--ISERROR(FIND(MID($I44&amp;REPT("a",60),ROW($A$1:$A$60),1),"ABCDEFGHIJKLMNOPQRSTUVWXYZabcdefghijklmnopqrstuvwxyzČĆĐŠŽčćđšž -'")))=0,0,1)+IF(SUMPRODUCT(--ISERROR(FIND(MID($L44&amp;REPT("a",60),ROW($A$1:$A$60),1),"ABCDEFGHIJKLMNOPQRSTUVWXYZabcdefghijklmnopqrstuvwxyzČĆĐŠŽčćđšž -'")))=0,0,1)+IF(SUMPRODUCT(--ISERROR(FIND(MID($O44&amp;REPT("a",60),ROW($A$1:$A$60),1),"ABCDEFGHIJKLMNOPQRSTUVWXYZabcdefghijklmnopqrstuvwxyzČĆĐŠŽčćđšž -'")))=0,0,1)&gt;0,"Ime sadrži znakove koji nisu slova",IF(COUNTA($G44,$J44,$M44,$P44)&lt;&gt;COUNTA($F44,$I44,$L44,$O44),"Nedostaje pol za nekog od članova",IF(COUNTA($F44,$I44,$L44,$O44)&lt;VLOOKUP($A44,ekipe,2,FALSE),"Ekipa mora imati najmanje "&amp;VLOOKUP($A44,ekipe,2,FALSE)&amp;" člana",IF(COUNTA($F44,$I44,$L44,$O44)&gt;VLOOKUP($A44,ekipe,3,FALSE),"Ekipa može imati najviše "&amp;VLOOKUP($A44,ekipe,3,FALSE)&amp;" člana",IF($B44="","Nedostaje vrsta ekipe","prijava je kompletna")))))))))))</f>
        <v/>
      </c>
      <c r="R44">
        <f>IF($C44="","sve_ekipne","tdisc_"&amp;$C44)</f>
        <v/>
      </c>
    </row>
    <row r="45" spans="1:18">
      <c r="A45" s="5"/>
      <c r="B45" s="5"/>
      <c r="C45" s="7">
        <f>IF($E45="","",LOOKUP($E45,INDEX(grupe,0,1),INDEX(grupe,0,2)))</f>
        <v/>
      </c>
      <c r="D45" s="7">
        <f>IF($C45="","",VLOOKUP($C45,INDEX(grupe,0,2):INDEX(grupe,0,3),2,FALSE))</f>
        <v/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8">
        <f>IF(COUNTA($A45:$B45,$E45,$H45,$K45,$N45,$F45,$I45,$L45,$O45)=0,"",IF($A45="","Nedostaje disciplina",IF($E45="","Nedostaje godište prvog člana",IF($C45="","Godište nije obuhvaćeno uzrasnom tabelom",IF(COUNTIF(INDIRECT("tdisc_"&amp;$C45),$A45)=0,"Disciplina nije moguća za uzrast "&amp;$C45,IF(IF($E45="",0,IF(LOOKUP($E45,INDEX(grupe,0,1),INDEX(grupe,0,2))=$C45,0,1))+IF($H45="",0,IF(LOOKUP($H45,INDEX(grupe,0,1),INDEX(grupe,0,2))=$C45,0,1))+IF($K45="",0,IF(LOOKUP($K45,INDEX(grupe,0,1),INDEX(grupe,0,2))=$C45,0,1))+IF($N45="",0,IF(LOOKUP($N45,INDEX(grupe,0,1),INDEX(grupe,0,2))=$C45,0,1))&gt;0,"Članovi ekipe nisu iz iste uzrasne grupe",IF(COUNTA($F45,$I45,$L45,$O45)&lt;&gt;COUNTA($E45,$H45,$K45,$N45),"Za svakog člana potrebni su i godište i ime",IF(IF(SUMPRODUCT(--ISERROR(FIND(MID($F45&amp;REPT("a",60),ROW($A$1:$A$60),1),"ABCDEFGHIJKLMNOPQRSTUVWXYZabcdefghijklmnopqrstuvwxyzČĆĐŠŽčćđšž -'")))=0,0,1)+IF(SUMPRODUCT(--ISERROR(FIND(MID($I45&amp;REPT("a",60),ROW($A$1:$A$60),1),"ABCDEFGHIJKLMNOPQRSTUVWXYZabcdefghijklmnopqrstuvwxyzČĆĐŠŽčćđšž -'")))=0,0,1)+IF(SUMPRODUCT(--ISERROR(FIND(MID($L45&amp;REPT("a",60),ROW($A$1:$A$60),1),"ABCDEFGHIJKLMNOPQRSTUVWXYZabcdefghijklmnopqrstuvwxyzČĆĐŠŽčćđšž -'")))=0,0,1)+IF(SUMPRODUCT(--ISERROR(FIND(MID($O45&amp;REPT("a",60),ROW($A$1:$A$60),1),"ABCDEFGHIJKLMNOPQRSTUVWXYZabcdefghijklmnopqrstuvwxyzČĆĐŠŽčćđšž -'")))=0,0,1)&gt;0,"Ime sadrži znakove koji nisu slova",IF(COUNTA($G45,$J45,$M45,$P45)&lt;&gt;COUNTA($F45,$I45,$L45,$O45),"Nedostaje pol za nekog od članova",IF(COUNTA($F45,$I45,$L45,$O45)&lt;VLOOKUP($A45,ekipe,2,FALSE),"Ekipa mora imati najmanje "&amp;VLOOKUP($A45,ekipe,2,FALSE)&amp;" člana",IF(COUNTA($F45,$I45,$L45,$O45)&gt;VLOOKUP($A45,ekipe,3,FALSE),"Ekipa može imati najviše "&amp;VLOOKUP($A45,ekipe,3,FALSE)&amp;" člana",IF($B45="","Nedostaje vrsta ekipe","prijava je kompletna")))))))))))</f>
        <v/>
      </c>
      <c r="R45">
        <f>IF($C45="","sve_ekipne","tdisc_"&amp;$C45)</f>
        <v/>
      </c>
    </row>
    <row r="46" spans="1:18">
      <c r="A46" s="5"/>
      <c r="B46" s="5"/>
      <c r="C46" s="7">
        <f>IF($E46="","",LOOKUP($E46,INDEX(grupe,0,1),INDEX(grupe,0,2)))</f>
        <v/>
      </c>
      <c r="D46" s="7">
        <f>IF($C46="","",VLOOKUP($C46,INDEX(grupe,0,2):INDEX(grupe,0,3),2,FALSE))</f>
        <v/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8">
        <f>IF(COUNTA($A46:$B46,$E46,$H46,$K46,$N46,$F46,$I46,$L46,$O46)=0,"",IF($A46="","Nedostaje disciplina",IF($E46="","Nedostaje godište prvog člana",IF($C46="","Godište nije obuhvaćeno uzrasnom tabelom",IF(COUNTIF(INDIRECT("tdisc_"&amp;$C46),$A46)=0,"Disciplina nije moguća za uzrast "&amp;$C46,IF(IF($E46="",0,IF(LOOKUP($E46,INDEX(grupe,0,1),INDEX(grupe,0,2))=$C46,0,1))+IF($H46="",0,IF(LOOKUP($H46,INDEX(grupe,0,1),INDEX(grupe,0,2))=$C46,0,1))+IF($K46="",0,IF(LOOKUP($K46,INDEX(grupe,0,1),INDEX(grupe,0,2))=$C46,0,1))+IF($N46="",0,IF(LOOKUP($N46,INDEX(grupe,0,1),INDEX(grupe,0,2))=$C46,0,1))&gt;0,"Članovi ekipe nisu iz iste uzrasne grupe",IF(COUNTA($F46,$I46,$L46,$O46)&lt;&gt;COUNTA($E46,$H46,$K46,$N46),"Za svakog člana potrebni su i godište i ime",IF(IF(SUMPRODUCT(--ISERROR(FIND(MID($F46&amp;REPT("a",60),ROW($A$1:$A$60),1),"ABCDEFGHIJKLMNOPQRSTUVWXYZabcdefghijklmnopqrstuvwxyzČĆĐŠŽčćđšž -'")))=0,0,1)+IF(SUMPRODUCT(--ISERROR(FIND(MID($I46&amp;REPT("a",60),ROW($A$1:$A$60),1),"ABCDEFGHIJKLMNOPQRSTUVWXYZabcdefghijklmnopqrstuvwxyzČĆĐŠŽčćđšž -'")))=0,0,1)+IF(SUMPRODUCT(--ISERROR(FIND(MID($L46&amp;REPT("a",60),ROW($A$1:$A$60),1),"ABCDEFGHIJKLMNOPQRSTUVWXYZabcdefghijklmnopqrstuvwxyzČĆĐŠŽčćđšž -'")))=0,0,1)+IF(SUMPRODUCT(--ISERROR(FIND(MID($O46&amp;REPT("a",60),ROW($A$1:$A$60),1),"ABCDEFGHIJKLMNOPQRSTUVWXYZabcdefghijklmnopqrstuvwxyzČĆĐŠŽčćđšž -'")))=0,0,1)&gt;0,"Ime sadrži znakove koji nisu slova",IF(COUNTA($G46,$J46,$M46,$P46)&lt;&gt;COUNTA($F46,$I46,$L46,$O46),"Nedostaje pol za nekog od članova",IF(COUNTA($F46,$I46,$L46,$O46)&lt;VLOOKUP($A46,ekipe,2,FALSE),"Ekipa mora imati najmanje "&amp;VLOOKUP($A46,ekipe,2,FALSE)&amp;" člana",IF(COUNTA($F46,$I46,$L46,$O46)&gt;VLOOKUP($A46,ekipe,3,FALSE),"Ekipa može imati najviše "&amp;VLOOKUP($A46,ekipe,3,FALSE)&amp;" člana",IF($B46="","Nedostaje vrsta ekipe","prijava je kompletna")))))))))))</f>
        <v/>
      </c>
      <c r="R46">
        <f>IF($C46="","sve_ekipne","tdisc_"&amp;$C46)</f>
        <v/>
      </c>
    </row>
    <row r="47" spans="1:18">
      <c r="A47" s="5"/>
      <c r="B47" s="5"/>
      <c r="C47" s="7">
        <f>IF($E47="","",LOOKUP($E47,INDEX(grupe,0,1),INDEX(grupe,0,2)))</f>
        <v/>
      </c>
      <c r="D47" s="7">
        <f>IF($C47="","",VLOOKUP($C47,INDEX(grupe,0,2):INDEX(grupe,0,3),2,FALSE))</f>
        <v/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8">
        <f>IF(COUNTA($A47:$B47,$E47,$H47,$K47,$N47,$F47,$I47,$L47,$O47)=0,"",IF($A47="","Nedostaje disciplina",IF($E47="","Nedostaje godište prvog člana",IF($C47="","Godište nije obuhvaćeno uzrasnom tabelom",IF(COUNTIF(INDIRECT("tdisc_"&amp;$C47),$A47)=0,"Disciplina nije moguća za uzrast "&amp;$C47,IF(IF($E47="",0,IF(LOOKUP($E47,INDEX(grupe,0,1),INDEX(grupe,0,2))=$C47,0,1))+IF($H47="",0,IF(LOOKUP($H47,INDEX(grupe,0,1),INDEX(grupe,0,2))=$C47,0,1))+IF($K47="",0,IF(LOOKUP($K47,INDEX(grupe,0,1),INDEX(grupe,0,2))=$C47,0,1))+IF($N47="",0,IF(LOOKUP($N47,INDEX(grupe,0,1),INDEX(grupe,0,2))=$C47,0,1))&gt;0,"Članovi ekipe nisu iz iste uzrasne grupe",IF(COUNTA($F47,$I47,$L47,$O47)&lt;&gt;COUNTA($E47,$H47,$K47,$N47),"Za svakog člana potrebni su i godište i ime",IF(IF(SUMPRODUCT(--ISERROR(FIND(MID($F47&amp;REPT("a",60),ROW($A$1:$A$60),1),"ABCDEFGHIJKLMNOPQRSTUVWXYZabcdefghijklmnopqrstuvwxyzČĆĐŠŽčćđšž -'")))=0,0,1)+IF(SUMPRODUCT(--ISERROR(FIND(MID($I47&amp;REPT("a",60),ROW($A$1:$A$60),1),"ABCDEFGHIJKLMNOPQRSTUVWXYZabcdefghijklmnopqrstuvwxyzČĆĐŠŽčćđšž -'")))=0,0,1)+IF(SUMPRODUCT(--ISERROR(FIND(MID($L47&amp;REPT("a",60),ROW($A$1:$A$60),1),"ABCDEFGHIJKLMNOPQRSTUVWXYZabcdefghijklmnopqrstuvwxyzČĆĐŠŽčćđšž -'")))=0,0,1)+IF(SUMPRODUCT(--ISERROR(FIND(MID($O47&amp;REPT("a",60),ROW($A$1:$A$60),1),"ABCDEFGHIJKLMNOPQRSTUVWXYZabcdefghijklmnopqrstuvwxyzČĆĐŠŽčćđšž -'")))=0,0,1)&gt;0,"Ime sadrži znakove koji nisu slova",IF(COUNTA($G47,$J47,$M47,$P47)&lt;&gt;COUNTA($F47,$I47,$L47,$O47),"Nedostaje pol za nekog od članova",IF(COUNTA($F47,$I47,$L47,$O47)&lt;VLOOKUP($A47,ekipe,2,FALSE),"Ekipa mora imati najmanje "&amp;VLOOKUP($A47,ekipe,2,FALSE)&amp;" člana",IF(COUNTA($F47,$I47,$L47,$O47)&gt;VLOOKUP($A47,ekipe,3,FALSE),"Ekipa može imati najviše "&amp;VLOOKUP($A47,ekipe,3,FALSE)&amp;" člana",IF($B47="","Nedostaje vrsta ekipe","prijava je kompletna")))))))))))</f>
        <v/>
      </c>
      <c r="R47">
        <f>IF($C47="","sve_ekipne","tdisc_"&amp;$C47)</f>
        <v/>
      </c>
    </row>
    <row r="48" spans="1:18">
      <c r="A48" s="5"/>
      <c r="B48" s="5"/>
      <c r="C48" s="7">
        <f>IF($E48="","",LOOKUP($E48,INDEX(grupe,0,1),INDEX(grupe,0,2)))</f>
        <v/>
      </c>
      <c r="D48" s="7">
        <f>IF($C48="","",VLOOKUP($C48,INDEX(grupe,0,2):INDEX(grupe,0,3),2,FALSE))</f>
        <v/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8">
        <f>IF(COUNTA($A48:$B48,$E48,$H48,$K48,$N48,$F48,$I48,$L48,$O48)=0,"",IF($A48="","Nedostaje disciplina",IF($E48="","Nedostaje godište prvog člana",IF($C48="","Godište nije obuhvaćeno uzrasnom tabelom",IF(COUNTIF(INDIRECT("tdisc_"&amp;$C48),$A48)=0,"Disciplina nije moguća za uzrast "&amp;$C48,IF(IF($E48="",0,IF(LOOKUP($E48,INDEX(grupe,0,1),INDEX(grupe,0,2))=$C48,0,1))+IF($H48="",0,IF(LOOKUP($H48,INDEX(grupe,0,1),INDEX(grupe,0,2))=$C48,0,1))+IF($K48="",0,IF(LOOKUP($K48,INDEX(grupe,0,1),INDEX(grupe,0,2))=$C48,0,1))+IF($N48="",0,IF(LOOKUP($N48,INDEX(grupe,0,1),INDEX(grupe,0,2))=$C48,0,1))&gt;0,"Članovi ekipe nisu iz iste uzrasne grupe",IF(COUNTA($F48,$I48,$L48,$O48)&lt;&gt;COUNTA($E48,$H48,$K48,$N48),"Za svakog člana potrebni su i godište i ime",IF(IF(SUMPRODUCT(--ISERROR(FIND(MID($F48&amp;REPT("a",60),ROW($A$1:$A$60),1),"ABCDEFGHIJKLMNOPQRSTUVWXYZabcdefghijklmnopqrstuvwxyzČĆĐŠŽčćđšž -'")))=0,0,1)+IF(SUMPRODUCT(--ISERROR(FIND(MID($I48&amp;REPT("a",60),ROW($A$1:$A$60),1),"ABCDEFGHIJKLMNOPQRSTUVWXYZabcdefghijklmnopqrstuvwxyzČĆĐŠŽčćđšž -'")))=0,0,1)+IF(SUMPRODUCT(--ISERROR(FIND(MID($L48&amp;REPT("a",60),ROW($A$1:$A$60),1),"ABCDEFGHIJKLMNOPQRSTUVWXYZabcdefghijklmnopqrstuvwxyzČĆĐŠŽčćđšž -'")))=0,0,1)+IF(SUMPRODUCT(--ISERROR(FIND(MID($O48&amp;REPT("a",60),ROW($A$1:$A$60),1),"ABCDEFGHIJKLMNOPQRSTUVWXYZabcdefghijklmnopqrstuvwxyzČĆĐŠŽčćđšž -'")))=0,0,1)&gt;0,"Ime sadrži znakove koji nisu slova",IF(COUNTA($G48,$J48,$M48,$P48)&lt;&gt;COUNTA($F48,$I48,$L48,$O48),"Nedostaje pol za nekog od članova",IF(COUNTA($F48,$I48,$L48,$O48)&lt;VLOOKUP($A48,ekipe,2,FALSE),"Ekipa mora imati najmanje "&amp;VLOOKUP($A48,ekipe,2,FALSE)&amp;" člana",IF(COUNTA($F48,$I48,$L48,$O48)&gt;VLOOKUP($A48,ekipe,3,FALSE),"Ekipa može imati najviše "&amp;VLOOKUP($A48,ekipe,3,FALSE)&amp;" člana",IF($B48="","Nedostaje vrsta ekipe","prijava je kompletna")))))))))))</f>
        <v/>
      </c>
      <c r="R48">
        <f>IF($C48="","sve_ekipne","tdisc_"&amp;$C48)</f>
        <v/>
      </c>
    </row>
    <row r="49" spans="1:18">
      <c r="A49" s="5"/>
      <c r="B49" s="5"/>
      <c r="C49" s="7">
        <f>IF($E49="","",LOOKUP($E49,INDEX(grupe,0,1),INDEX(grupe,0,2)))</f>
        <v/>
      </c>
      <c r="D49" s="7">
        <f>IF($C49="","",VLOOKUP($C49,INDEX(grupe,0,2):INDEX(grupe,0,3),2,FALSE))</f>
        <v/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8">
        <f>IF(COUNTA($A49:$B49,$E49,$H49,$K49,$N49,$F49,$I49,$L49,$O49)=0,"",IF($A49="","Nedostaje disciplina",IF($E49="","Nedostaje godište prvog člana",IF($C49="","Godište nije obuhvaćeno uzrasnom tabelom",IF(COUNTIF(INDIRECT("tdisc_"&amp;$C49),$A49)=0,"Disciplina nije moguća za uzrast "&amp;$C49,IF(IF($E49="",0,IF(LOOKUP($E49,INDEX(grupe,0,1),INDEX(grupe,0,2))=$C49,0,1))+IF($H49="",0,IF(LOOKUP($H49,INDEX(grupe,0,1),INDEX(grupe,0,2))=$C49,0,1))+IF($K49="",0,IF(LOOKUP($K49,INDEX(grupe,0,1),INDEX(grupe,0,2))=$C49,0,1))+IF($N49="",0,IF(LOOKUP($N49,INDEX(grupe,0,1),INDEX(grupe,0,2))=$C49,0,1))&gt;0,"Članovi ekipe nisu iz iste uzrasne grupe",IF(COUNTA($F49,$I49,$L49,$O49)&lt;&gt;COUNTA($E49,$H49,$K49,$N49),"Za svakog člana potrebni su i godište i ime",IF(IF(SUMPRODUCT(--ISERROR(FIND(MID($F49&amp;REPT("a",60),ROW($A$1:$A$60),1),"ABCDEFGHIJKLMNOPQRSTUVWXYZabcdefghijklmnopqrstuvwxyzČĆĐŠŽčćđšž -'")))=0,0,1)+IF(SUMPRODUCT(--ISERROR(FIND(MID($I49&amp;REPT("a",60),ROW($A$1:$A$60),1),"ABCDEFGHIJKLMNOPQRSTUVWXYZabcdefghijklmnopqrstuvwxyzČĆĐŠŽčćđšž -'")))=0,0,1)+IF(SUMPRODUCT(--ISERROR(FIND(MID($L49&amp;REPT("a",60),ROW($A$1:$A$60),1),"ABCDEFGHIJKLMNOPQRSTUVWXYZabcdefghijklmnopqrstuvwxyzČĆĐŠŽčćđšž -'")))=0,0,1)+IF(SUMPRODUCT(--ISERROR(FIND(MID($O49&amp;REPT("a",60),ROW($A$1:$A$60),1),"ABCDEFGHIJKLMNOPQRSTUVWXYZabcdefghijklmnopqrstuvwxyzČĆĐŠŽčćđšž -'")))=0,0,1)&gt;0,"Ime sadrži znakove koji nisu slova",IF(COUNTA($G49,$J49,$M49,$P49)&lt;&gt;COUNTA($F49,$I49,$L49,$O49),"Nedostaje pol za nekog od članova",IF(COUNTA($F49,$I49,$L49,$O49)&lt;VLOOKUP($A49,ekipe,2,FALSE),"Ekipa mora imati najmanje "&amp;VLOOKUP($A49,ekipe,2,FALSE)&amp;" člana",IF(COUNTA($F49,$I49,$L49,$O49)&gt;VLOOKUP($A49,ekipe,3,FALSE),"Ekipa može imati najviše "&amp;VLOOKUP($A49,ekipe,3,FALSE)&amp;" člana",IF($B49="","Nedostaje vrsta ekipe","prijava je kompletna")))))))))))</f>
        <v/>
      </c>
      <c r="R49">
        <f>IF($C49="","sve_ekipne","tdisc_"&amp;$C49)</f>
        <v/>
      </c>
    </row>
    <row r="50" spans="1:18">
      <c r="A50" s="5"/>
      <c r="B50" s="5"/>
      <c r="C50" s="7">
        <f>IF($E50="","",LOOKUP($E50,INDEX(grupe,0,1),INDEX(grupe,0,2)))</f>
        <v/>
      </c>
      <c r="D50" s="7">
        <f>IF($C50="","",VLOOKUP($C50,INDEX(grupe,0,2):INDEX(grupe,0,3),2,FALSE))</f>
        <v/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8">
        <f>IF(COUNTA($A50:$B50,$E50,$H50,$K50,$N50,$F50,$I50,$L50,$O50)=0,"",IF($A50="","Nedostaje disciplina",IF($E50="","Nedostaje godište prvog člana",IF($C50="","Godište nije obuhvaćeno uzrasnom tabelom",IF(COUNTIF(INDIRECT("tdisc_"&amp;$C50),$A50)=0,"Disciplina nije moguća za uzrast "&amp;$C50,IF(IF($E50="",0,IF(LOOKUP($E50,INDEX(grupe,0,1),INDEX(grupe,0,2))=$C50,0,1))+IF($H50="",0,IF(LOOKUP($H50,INDEX(grupe,0,1),INDEX(grupe,0,2))=$C50,0,1))+IF($K50="",0,IF(LOOKUP($K50,INDEX(grupe,0,1),INDEX(grupe,0,2))=$C50,0,1))+IF($N50="",0,IF(LOOKUP($N50,INDEX(grupe,0,1),INDEX(grupe,0,2))=$C50,0,1))&gt;0,"Članovi ekipe nisu iz iste uzrasne grupe",IF(COUNTA($F50,$I50,$L50,$O50)&lt;&gt;COUNTA($E50,$H50,$K50,$N50),"Za svakog člana potrebni su i godište i ime",IF(IF(SUMPRODUCT(--ISERROR(FIND(MID($F50&amp;REPT("a",60),ROW($A$1:$A$60),1),"ABCDEFGHIJKLMNOPQRSTUVWXYZabcdefghijklmnopqrstuvwxyzČĆĐŠŽčćđšž -'")))=0,0,1)+IF(SUMPRODUCT(--ISERROR(FIND(MID($I50&amp;REPT("a",60),ROW($A$1:$A$60),1),"ABCDEFGHIJKLMNOPQRSTUVWXYZabcdefghijklmnopqrstuvwxyzČĆĐŠŽčćđšž -'")))=0,0,1)+IF(SUMPRODUCT(--ISERROR(FIND(MID($L50&amp;REPT("a",60),ROW($A$1:$A$60),1),"ABCDEFGHIJKLMNOPQRSTUVWXYZabcdefghijklmnopqrstuvwxyzČĆĐŠŽčćđšž -'")))=0,0,1)+IF(SUMPRODUCT(--ISERROR(FIND(MID($O50&amp;REPT("a",60),ROW($A$1:$A$60),1),"ABCDEFGHIJKLMNOPQRSTUVWXYZabcdefghijklmnopqrstuvwxyzČĆĐŠŽčćđšž -'")))=0,0,1)&gt;0,"Ime sadrži znakove koji nisu slova",IF(COUNTA($G50,$J50,$M50,$P50)&lt;&gt;COUNTA($F50,$I50,$L50,$O50),"Nedostaje pol za nekog od članova",IF(COUNTA($F50,$I50,$L50,$O50)&lt;VLOOKUP($A50,ekipe,2,FALSE),"Ekipa mora imati najmanje "&amp;VLOOKUP($A50,ekipe,2,FALSE)&amp;" člana",IF(COUNTA($F50,$I50,$L50,$O50)&gt;VLOOKUP($A50,ekipe,3,FALSE),"Ekipa može imati najviše "&amp;VLOOKUP($A50,ekipe,3,FALSE)&amp;" člana",IF($B50="","Nedostaje vrsta ekipe","prijava je kompletna")))))))))))</f>
        <v/>
      </c>
      <c r="R50">
        <f>IF($C50="","sve_ekipne","tdisc_"&amp;$C50)</f>
        <v/>
      </c>
    </row>
    <row r="51" spans="1:18">
      <c r="A51" s="5"/>
      <c r="B51" s="5"/>
      <c r="C51" s="7">
        <f>IF($E51="","",LOOKUP($E51,INDEX(grupe,0,1),INDEX(grupe,0,2)))</f>
        <v/>
      </c>
      <c r="D51" s="7">
        <f>IF($C51="","",VLOOKUP($C51,INDEX(grupe,0,2):INDEX(grupe,0,3),2,FALSE))</f>
        <v/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8">
        <f>IF(COUNTA($A51:$B51,$E51,$H51,$K51,$N51,$F51,$I51,$L51,$O51)=0,"",IF($A51="","Nedostaje disciplina",IF($E51="","Nedostaje godište prvog člana",IF($C51="","Godište nije obuhvaćeno uzrasnom tabelom",IF(COUNTIF(INDIRECT("tdisc_"&amp;$C51),$A51)=0,"Disciplina nije moguća za uzrast "&amp;$C51,IF(IF($E51="",0,IF(LOOKUP($E51,INDEX(grupe,0,1),INDEX(grupe,0,2))=$C51,0,1))+IF($H51="",0,IF(LOOKUP($H51,INDEX(grupe,0,1),INDEX(grupe,0,2))=$C51,0,1))+IF($K51="",0,IF(LOOKUP($K51,INDEX(grupe,0,1),INDEX(grupe,0,2))=$C51,0,1))+IF($N51="",0,IF(LOOKUP($N51,INDEX(grupe,0,1),INDEX(grupe,0,2))=$C51,0,1))&gt;0,"Članovi ekipe nisu iz iste uzrasne grupe",IF(COUNTA($F51,$I51,$L51,$O51)&lt;&gt;COUNTA($E51,$H51,$K51,$N51),"Za svakog člana potrebni su i godište i ime",IF(IF(SUMPRODUCT(--ISERROR(FIND(MID($F51&amp;REPT("a",60),ROW($A$1:$A$60),1),"ABCDEFGHIJKLMNOPQRSTUVWXYZabcdefghijklmnopqrstuvwxyzČĆĐŠŽčćđšž -'")))=0,0,1)+IF(SUMPRODUCT(--ISERROR(FIND(MID($I51&amp;REPT("a",60),ROW($A$1:$A$60),1),"ABCDEFGHIJKLMNOPQRSTUVWXYZabcdefghijklmnopqrstuvwxyzČĆĐŠŽčćđšž -'")))=0,0,1)+IF(SUMPRODUCT(--ISERROR(FIND(MID($L51&amp;REPT("a",60),ROW($A$1:$A$60),1),"ABCDEFGHIJKLMNOPQRSTUVWXYZabcdefghijklmnopqrstuvwxyzČĆĐŠŽčćđšž -'")))=0,0,1)+IF(SUMPRODUCT(--ISERROR(FIND(MID($O51&amp;REPT("a",60),ROW($A$1:$A$60),1),"ABCDEFGHIJKLMNOPQRSTUVWXYZabcdefghijklmnopqrstuvwxyzČĆĐŠŽčćđšž -'")))=0,0,1)&gt;0,"Ime sadrži znakove koji nisu slova",IF(COUNTA($G51,$J51,$M51,$P51)&lt;&gt;COUNTA($F51,$I51,$L51,$O51),"Nedostaje pol za nekog od članova",IF(COUNTA($F51,$I51,$L51,$O51)&lt;VLOOKUP($A51,ekipe,2,FALSE),"Ekipa mora imati najmanje "&amp;VLOOKUP($A51,ekipe,2,FALSE)&amp;" člana",IF(COUNTA($F51,$I51,$L51,$O51)&gt;VLOOKUP($A51,ekipe,3,FALSE),"Ekipa može imati najviše "&amp;VLOOKUP($A51,ekipe,3,FALSE)&amp;" člana",IF($B51="","Nedostaje vrsta ekipe","prijava je kompletna")))))))))))</f>
        <v/>
      </c>
      <c r="R51">
        <f>IF($C51="","sve_ekipne","tdisc_"&amp;$C51)</f>
        <v/>
      </c>
    </row>
    <row r="52" spans="1:18">
      <c r="A52" s="5"/>
      <c r="B52" s="5"/>
      <c r="C52" s="7">
        <f>IF($E52="","",LOOKUP($E52,INDEX(grupe,0,1),INDEX(grupe,0,2)))</f>
        <v/>
      </c>
      <c r="D52" s="7">
        <f>IF($C52="","",VLOOKUP($C52,INDEX(grupe,0,2):INDEX(grupe,0,3),2,FALSE))</f>
        <v/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8">
        <f>IF(COUNTA($A52:$B52,$E52,$H52,$K52,$N52,$F52,$I52,$L52,$O52)=0,"",IF($A52="","Nedostaje disciplina",IF($E52="","Nedostaje godište prvog člana",IF($C52="","Godište nije obuhvaćeno uzrasnom tabelom",IF(COUNTIF(INDIRECT("tdisc_"&amp;$C52),$A52)=0,"Disciplina nije moguća za uzrast "&amp;$C52,IF(IF($E52="",0,IF(LOOKUP($E52,INDEX(grupe,0,1),INDEX(grupe,0,2))=$C52,0,1))+IF($H52="",0,IF(LOOKUP($H52,INDEX(grupe,0,1),INDEX(grupe,0,2))=$C52,0,1))+IF($K52="",0,IF(LOOKUP($K52,INDEX(grupe,0,1),INDEX(grupe,0,2))=$C52,0,1))+IF($N52="",0,IF(LOOKUP($N52,INDEX(grupe,0,1),INDEX(grupe,0,2))=$C52,0,1))&gt;0,"Članovi ekipe nisu iz iste uzrasne grupe",IF(COUNTA($F52,$I52,$L52,$O52)&lt;&gt;COUNTA($E52,$H52,$K52,$N52),"Za svakog člana potrebni su i godište i ime",IF(IF(SUMPRODUCT(--ISERROR(FIND(MID($F52&amp;REPT("a",60),ROW($A$1:$A$60),1),"ABCDEFGHIJKLMNOPQRSTUVWXYZabcdefghijklmnopqrstuvwxyzČĆĐŠŽčćđšž -'")))=0,0,1)+IF(SUMPRODUCT(--ISERROR(FIND(MID($I52&amp;REPT("a",60),ROW($A$1:$A$60),1),"ABCDEFGHIJKLMNOPQRSTUVWXYZabcdefghijklmnopqrstuvwxyzČĆĐŠŽčćđšž -'")))=0,0,1)+IF(SUMPRODUCT(--ISERROR(FIND(MID($L52&amp;REPT("a",60),ROW($A$1:$A$60),1),"ABCDEFGHIJKLMNOPQRSTUVWXYZabcdefghijklmnopqrstuvwxyzČĆĐŠŽčćđšž -'")))=0,0,1)+IF(SUMPRODUCT(--ISERROR(FIND(MID($O52&amp;REPT("a",60),ROW($A$1:$A$60),1),"ABCDEFGHIJKLMNOPQRSTUVWXYZabcdefghijklmnopqrstuvwxyzČĆĐŠŽčćđšž -'")))=0,0,1)&gt;0,"Ime sadrži znakove koji nisu slova",IF(COUNTA($G52,$J52,$M52,$P52)&lt;&gt;COUNTA($F52,$I52,$L52,$O52),"Nedostaje pol za nekog od članova",IF(COUNTA($F52,$I52,$L52,$O52)&lt;VLOOKUP($A52,ekipe,2,FALSE),"Ekipa mora imati najmanje "&amp;VLOOKUP($A52,ekipe,2,FALSE)&amp;" člana",IF(COUNTA($F52,$I52,$L52,$O52)&gt;VLOOKUP($A52,ekipe,3,FALSE),"Ekipa može imati najviše "&amp;VLOOKUP($A52,ekipe,3,FALSE)&amp;" člana",IF($B52="","Nedostaje vrsta ekipe","prijava je kompletna")))))))))))</f>
        <v/>
      </c>
      <c r="R52">
        <f>IF($C52="","sve_ekipne","tdisc_"&amp;$C52)</f>
        <v/>
      </c>
    </row>
    <row r="53" spans="1:18">
      <c r="A53" s="5"/>
      <c r="B53" s="5"/>
      <c r="C53" s="7">
        <f>IF($E53="","",LOOKUP($E53,INDEX(grupe,0,1),INDEX(grupe,0,2)))</f>
        <v/>
      </c>
      <c r="D53" s="7">
        <f>IF($C53="","",VLOOKUP($C53,INDEX(grupe,0,2):INDEX(grupe,0,3),2,FALSE))</f>
        <v/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8">
        <f>IF(COUNTA($A53:$B53,$E53,$H53,$K53,$N53,$F53,$I53,$L53,$O53)=0,"",IF($A53="","Nedostaje disciplina",IF($E53="","Nedostaje godište prvog člana",IF($C53="","Godište nije obuhvaćeno uzrasnom tabelom",IF(COUNTIF(INDIRECT("tdisc_"&amp;$C53),$A53)=0,"Disciplina nije moguća za uzrast "&amp;$C53,IF(IF($E53="",0,IF(LOOKUP($E53,INDEX(grupe,0,1),INDEX(grupe,0,2))=$C53,0,1))+IF($H53="",0,IF(LOOKUP($H53,INDEX(grupe,0,1),INDEX(grupe,0,2))=$C53,0,1))+IF($K53="",0,IF(LOOKUP($K53,INDEX(grupe,0,1),INDEX(grupe,0,2))=$C53,0,1))+IF($N53="",0,IF(LOOKUP($N53,INDEX(grupe,0,1),INDEX(grupe,0,2))=$C53,0,1))&gt;0,"Članovi ekipe nisu iz iste uzrasne grupe",IF(COUNTA($F53,$I53,$L53,$O53)&lt;&gt;COUNTA($E53,$H53,$K53,$N53),"Za svakog člana potrebni su i godište i ime",IF(IF(SUMPRODUCT(--ISERROR(FIND(MID($F53&amp;REPT("a",60),ROW($A$1:$A$60),1),"ABCDEFGHIJKLMNOPQRSTUVWXYZabcdefghijklmnopqrstuvwxyzČĆĐŠŽčćđšž -'")))=0,0,1)+IF(SUMPRODUCT(--ISERROR(FIND(MID($I53&amp;REPT("a",60),ROW($A$1:$A$60),1),"ABCDEFGHIJKLMNOPQRSTUVWXYZabcdefghijklmnopqrstuvwxyzČĆĐŠŽčćđšž -'")))=0,0,1)+IF(SUMPRODUCT(--ISERROR(FIND(MID($L53&amp;REPT("a",60),ROW($A$1:$A$60),1),"ABCDEFGHIJKLMNOPQRSTUVWXYZabcdefghijklmnopqrstuvwxyzČĆĐŠŽčćđšž -'")))=0,0,1)+IF(SUMPRODUCT(--ISERROR(FIND(MID($O53&amp;REPT("a",60),ROW($A$1:$A$60),1),"ABCDEFGHIJKLMNOPQRSTUVWXYZabcdefghijklmnopqrstuvwxyzČĆĐŠŽčćđšž -'")))=0,0,1)&gt;0,"Ime sadrži znakove koji nisu slova",IF(COUNTA($G53,$J53,$M53,$P53)&lt;&gt;COUNTA($F53,$I53,$L53,$O53),"Nedostaje pol za nekog od članova",IF(COUNTA($F53,$I53,$L53,$O53)&lt;VLOOKUP($A53,ekipe,2,FALSE),"Ekipa mora imati najmanje "&amp;VLOOKUP($A53,ekipe,2,FALSE)&amp;" člana",IF(COUNTA($F53,$I53,$L53,$O53)&gt;VLOOKUP($A53,ekipe,3,FALSE),"Ekipa može imati najviše "&amp;VLOOKUP($A53,ekipe,3,FALSE)&amp;" člana",IF($B53="","Nedostaje vrsta ekipe","prijava je kompletna")))))))))))</f>
        <v/>
      </c>
      <c r="R53">
        <f>IF($C53="","sve_ekipne","tdisc_"&amp;$C53)</f>
        <v/>
      </c>
    </row>
    <row r="54" spans="1:18">
      <c r="A54" s="5"/>
      <c r="B54" s="5"/>
      <c r="C54" s="7">
        <f>IF($E54="","",LOOKUP($E54,INDEX(grupe,0,1),INDEX(grupe,0,2)))</f>
        <v/>
      </c>
      <c r="D54" s="7">
        <f>IF($C54="","",VLOOKUP($C54,INDEX(grupe,0,2):INDEX(grupe,0,3),2,FALSE))</f>
        <v/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8">
        <f>IF(COUNTA($A54:$B54,$E54,$H54,$K54,$N54,$F54,$I54,$L54,$O54)=0,"",IF($A54="","Nedostaje disciplina",IF($E54="","Nedostaje godište prvog člana",IF($C54="","Godište nije obuhvaćeno uzrasnom tabelom",IF(COUNTIF(INDIRECT("tdisc_"&amp;$C54),$A54)=0,"Disciplina nije moguća za uzrast "&amp;$C54,IF(IF($E54="",0,IF(LOOKUP($E54,INDEX(grupe,0,1),INDEX(grupe,0,2))=$C54,0,1))+IF($H54="",0,IF(LOOKUP($H54,INDEX(grupe,0,1),INDEX(grupe,0,2))=$C54,0,1))+IF($K54="",0,IF(LOOKUP($K54,INDEX(grupe,0,1),INDEX(grupe,0,2))=$C54,0,1))+IF($N54="",0,IF(LOOKUP($N54,INDEX(grupe,0,1),INDEX(grupe,0,2))=$C54,0,1))&gt;0,"Članovi ekipe nisu iz iste uzrasne grupe",IF(COUNTA($F54,$I54,$L54,$O54)&lt;&gt;COUNTA($E54,$H54,$K54,$N54),"Za svakog člana potrebni su i godište i ime",IF(IF(SUMPRODUCT(--ISERROR(FIND(MID($F54&amp;REPT("a",60),ROW($A$1:$A$60),1),"ABCDEFGHIJKLMNOPQRSTUVWXYZabcdefghijklmnopqrstuvwxyzČĆĐŠŽčćđšž -'")))=0,0,1)+IF(SUMPRODUCT(--ISERROR(FIND(MID($I54&amp;REPT("a",60),ROW($A$1:$A$60),1),"ABCDEFGHIJKLMNOPQRSTUVWXYZabcdefghijklmnopqrstuvwxyzČĆĐŠŽčćđšž -'")))=0,0,1)+IF(SUMPRODUCT(--ISERROR(FIND(MID($L54&amp;REPT("a",60),ROW($A$1:$A$60),1),"ABCDEFGHIJKLMNOPQRSTUVWXYZabcdefghijklmnopqrstuvwxyzČĆĐŠŽčćđšž -'")))=0,0,1)+IF(SUMPRODUCT(--ISERROR(FIND(MID($O54&amp;REPT("a",60),ROW($A$1:$A$60),1),"ABCDEFGHIJKLMNOPQRSTUVWXYZabcdefghijklmnopqrstuvwxyzČĆĐŠŽčćđšž -'")))=0,0,1)&gt;0,"Ime sadrži znakove koji nisu slova",IF(COUNTA($G54,$J54,$M54,$P54)&lt;&gt;COUNTA($F54,$I54,$L54,$O54),"Nedostaje pol za nekog od članova",IF(COUNTA($F54,$I54,$L54,$O54)&lt;VLOOKUP($A54,ekipe,2,FALSE),"Ekipa mora imati najmanje "&amp;VLOOKUP($A54,ekipe,2,FALSE)&amp;" člana",IF(COUNTA($F54,$I54,$L54,$O54)&gt;VLOOKUP($A54,ekipe,3,FALSE),"Ekipa može imati najviše "&amp;VLOOKUP($A54,ekipe,3,FALSE)&amp;" člana",IF($B54="","Nedostaje vrsta ekipe","prijava je kompletna")))))))))))</f>
        <v/>
      </c>
      <c r="R54">
        <f>IF($C54="","sve_ekipne","tdisc_"&amp;$C54)</f>
        <v/>
      </c>
    </row>
    <row r="55" spans="1:18">
      <c r="A55" s="5"/>
      <c r="B55" s="5"/>
      <c r="C55" s="7">
        <f>IF($E55="","",LOOKUP($E55,INDEX(grupe,0,1),INDEX(grupe,0,2)))</f>
        <v/>
      </c>
      <c r="D55" s="7">
        <f>IF($C55="","",VLOOKUP($C55,INDEX(grupe,0,2):INDEX(grupe,0,3),2,FALSE))</f>
        <v/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8">
        <f>IF(COUNTA($A55:$B55,$E55,$H55,$K55,$N55,$F55,$I55,$L55,$O55)=0,"",IF($A55="","Nedostaje disciplina",IF($E55="","Nedostaje godište prvog člana",IF($C55="","Godište nije obuhvaćeno uzrasnom tabelom",IF(COUNTIF(INDIRECT("tdisc_"&amp;$C55),$A55)=0,"Disciplina nije moguća za uzrast "&amp;$C55,IF(IF($E55="",0,IF(LOOKUP($E55,INDEX(grupe,0,1),INDEX(grupe,0,2))=$C55,0,1))+IF($H55="",0,IF(LOOKUP($H55,INDEX(grupe,0,1),INDEX(grupe,0,2))=$C55,0,1))+IF($K55="",0,IF(LOOKUP($K55,INDEX(grupe,0,1),INDEX(grupe,0,2))=$C55,0,1))+IF($N55="",0,IF(LOOKUP($N55,INDEX(grupe,0,1),INDEX(grupe,0,2))=$C55,0,1))&gt;0,"Članovi ekipe nisu iz iste uzrasne grupe",IF(COUNTA($F55,$I55,$L55,$O55)&lt;&gt;COUNTA($E55,$H55,$K55,$N55),"Za svakog člana potrebni su i godište i ime",IF(IF(SUMPRODUCT(--ISERROR(FIND(MID($F55&amp;REPT("a",60),ROW($A$1:$A$60),1),"ABCDEFGHIJKLMNOPQRSTUVWXYZabcdefghijklmnopqrstuvwxyzČĆĐŠŽčćđšž -'")))=0,0,1)+IF(SUMPRODUCT(--ISERROR(FIND(MID($I55&amp;REPT("a",60),ROW($A$1:$A$60),1),"ABCDEFGHIJKLMNOPQRSTUVWXYZabcdefghijklmnopqrstuvwxyzČĆĐŠŽčćđšž -'")))=0,0,1)+IF(SUMPRODUCT(--ISERROR(FIND(MID($L55&amp;REPT("a",60),ROW($A$1:$A$60),1),"ABCDEFGHIJKLMNOPQRSTUVWXYZabcdefghijklmnopqrstuvwxyzČĆĐŠŽčćđšž -'")))=0,0,1)+IF(SUMPRODUCT(--ISERROR(FIND(MID($O55&amp;REPT("a",60),ROW($A$1:$A$60),1),"ABCDEFGHIJKLMNOPQRSTUVWXYZabcdefghijklmnopqrstuvwxyzČĆĐŠŽčćđšž -'")))=0,0,1)&gt;0,"Ime sadrži znakove koji nisu slova",IF(COUNTA($G55,$J55,$M55,$P55)&lt;&gt;COUNTA($F55,$I55,$L55,$O55),"Nedostaje pol za nekog od članova",IF(COUNTA($F55,$I55,$L55,$O55)&lt;VLOOKUP($A55,ekipe,2,FALSE),"Ekipa mora imati najmanje "&amp;VLOOKUP($A55,ekipe,2,FALSE)&amp;" člana",IF(COUNTA($F55,$I55,$L55,$O55)&gt;VLOOKUP($A55,ekipe,3,FALSE),"Ekipa može imati najviše "&amp;VLOOKUP($A55,ekipe,3,FALSE)&amp;" člana",IF($B55="","Nedostaje vrsta ekipe","prijava je kompletna")))))))))))</f>
        <v/>
      </c>
      <c r="R55">
        <f>IF($C55="","sve_ekipne","tdisc_"&amp;$C55)</f>
        <v/>
      </c>
    </row>
    <row r="56" spans="1:18">
      <c r="A56" s="5"/>
      <c r="B56" s="5"/>
      <c r="C56" s="7">
        <f>IF($E56="","",LOOKUP($E56,INDEX(grupe,0,1),INDEX(grupe,0,2)))</f>
        <v/>
      </c>
      <c r="D56" s="7">
        <f>IF($C56="","",VLOOKUP($C56,INDEX(grupe,0,2):INDEX(grupe,0,3),2,FALSE))</f>
        <v/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8">
        <f>IF(COUNTA($A56:$B56,$E56,$H56,$K56,$N56,$F56,$I56,$L56,$O56)=0,"",IF($A56="","Nedostaje disciplina",IF($E56="","Nedostaje godište prvog člana",IF($C56="","Godište nije obuhvaćeno uzrasnom tabelom",IF(COUNTIF(INDIRECT("tdisc_"&amp;$C56),$A56)=0,"Disciplina nije moguća za uzrast "&amp;$C56,IF(IF($E56="",0,IF(LOOKUP($E56,INDEX(grupe,0,1),INDEX(grupe,0,2))=$C56,0,1))+IF($H56="",0,IF(LOOKUP($H56,INDEX(grupe,0,1),INDEX(grupe,0,2))=$C56,0,1))+IF($K56="",0,IF(LOOKUP($K56,INDEX(grupe,0,1),INDEX(grupe,0,2))=$C56,0,1))+IF($N56="",0,IF(LOOKUP($N56,INDEX(grupe,0,1),INDEX(grupe,0,2))=$C56,0,1))&gt;0,"Članovi ekipe nisu iz iste uzrasne grupe",IF(COUNTA($F56,$I56,$L56,$O56)&lt;&gt;COUNTA($E56,$H56,$K56,$N56),"Za svakog člana potrebni su i godište i ime",IF(IF(SUMPRODUCT(--ISERROR(FIND(MID($F56&amp;REPT("a",60),ROW($A$1:$A$60),1),"ABCDEFGHIJKLMNOPQRSTUVWXYZabcdefghijklmnopqrstuvwxyzČĆĐŠŽčćđšž -'")))=0,0,1)+IF(SUMPRODUCT(--ISERROR(FIND(MID($I56&amp;REPT("a",60),ROW($A$1:$A$60),1),"ABCDEFGHIJKLMNOPQRSTUVWXYZabcdefghijklmnopqrstuvwxyzČĆĐŠŽčćđšž -'")))=0,0,1)+IF(SUMPRODUCT(--ISERROR(FIND(MID($L56&amp;REPT("a",60),ROW($A$1:$A$60),1),"ABCDEFGHIJKLMNOPQRSTUVWXYZabcdefghijklmnopqrstuvwxyzČĆĐŠŽčćđšž -'")))=0,0,1)+IF(SUMPRODUCT(--ISERROR(FIND(MID($O56&amp;REPT("a",60),ROW($A$1:$A$60),1),"ABCDEFGHIJKLMNOPQRSTUVWXYZabcdefghijklmnopqrstuvwxyzČĆĐŠŽčćđšž -'")))=0,0,1)&gt;0,"Ime sadrži znakove koji nisu slova",IF(COUNTA($G56,$J56,$M56,$P56)&lt;&gt;COUNTA($F56,$I56,$L56,$O56),"Nedostaje pol za nekog od članova",IF(COUNTA($F56,$I56,$L56,$O56)&lt;VLOOKUP($A56,ekipe,2,FALSE),"Ekipa mora imati najmanje "&amp;VLOOKUP($A56,ekipe,2,FALSE)&amp;" člana",IF(COUNTA($F56,$I56,$L56,$O56)&gt;VLOOKUP($A56,ekipe,3,FALSE),"Ekipa može imati najviše "&amp;VLOOKUP($A56,ekipe,3,FALSE)&amp;" člana",IF($B56="","Nedostaje vrsta ekipe","prijava je kompletna")))))))))))</f>
        <v/>
      </c>
      <c r="R56">
        <f>IF($C56="","sve_ekipne","tdisc_"&amp;$C56)</f>
        <v/>
      </c>
    </row>
    <row r="57" spans="1:18">
      <c r="A57" s="5"/>
      <c r="B57" s="5"/>
      <c r="C57" s="7">
        <f>IF($E57="","",LOOKUP($E57,INDEX(grupe,0,1),INDEX(grupe,0,2)))</f>
        <v/>
      </c>
      <c r="D57" s="7">
        <f>IF($C57="","",VLOOKUP($C57,INDEX(grupe,0,2):INDEX(grupe,0,3),2,FALSE))</f>
        <v/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8">
        <f>IF(COUNTA($A57:$B57,$E57,$H57,$K57,$N57,$F57,$I57,$L57,$O57)=0,"",IF($A57="","Nedostaje disciplina",IF($E57="","Nedostaje godište prvog člana",IF($C57="","Godište nije obuhvaćeno uzrasnom tabelom",IF(COUNTIF(INDIRECT("tdisc_"&amp;$C57),$A57)=0,"Disciplina nije moguća za uzrast "&amp;$C57,IF(IF($E57="",0,IF(LOOKUP($E57,INDEX(grupe,0,1),INDEX(grupe,0,2))=$C57,0,1))+IF($H57="",0,IF(LOOKUP($H57,INDEX(grupe,0,1),INDEX(grupe,0,2))=$C57,0,1))+IF($K57="",0,IF(LOOKUP($K57,INDEX(grupe,0,1),INDEX(grupe,0,2))=$C57,0,1))+IF($N57="",0,IF(LOOKUP($N57,INDEX(grupe,0,1),INDEX(grupe,0,2))=$C57,0,1))&gt;0,"Članovi ekipe nisu iz iste uzrasne grupe",IF(COUNTA($F57,$I57,$L57,$O57)&lt;&gt;COUNTA($E57,$H57,$K57,$N57),"Za svakog člana potrebni su i godište i ime",IF(IF(SUMPRODUCT(--ISERROR(FIND(MID($F57&amp;REPT("a",60),ROW($A$1:$A$60),1),"ABCDEFGHIJKLMNOPQRSTUVWXYZabcdefghijklmnopqrstuvwxyzČĆĐŠŽčćđšž -'")))=0,0,1)+IF(SUMPRODUCT(--ISERROR(FIND(MID($I57&amp;REPT("a",60),ROW($A$1:$A$60),1),"ABCDEFGHIJKLMNOPQRSTUVWXYZabcdefghijklmnopqrstuvwxyzČĆĐŠŽčćđšž -'")))=0,0,1)+IF(SUMPRODUCT(--ISERROR(FIND(MID($L57&amp;REPT("a",60),ROW($A$1:$A$60),1),"ABCDEFGHIJKLMNOPQRSTUVWXYZabcdefghijklmnopqrstuvwxyzČĆĐŠŽčćđšž -'")))=0,0,1)+IF(SUMPRODUCT(--ISERROR(FIND(MID($O57&amp;REPT("a",60),ROW($A$1:$A$60),1),"ABCDEFGHIJKLMNOPQRSTUVWXYZabcdefghijklmnopqrstuvwxyzČĆĐŠŽčćđšž -'")))=0,0,1)&gt;0,"Ime sadrži znakove koji nisu slova",IF(COUNTA($G57,$J57,$M57,$P57)&lt;&gt;COUNTA($F57,$I57,$L57,$O57),"Nedostaje pol za nekog od članova",IF(COUNTA($F57,$I57,$L57,$O57)&lt;VLOOKUP($A57,ekipe,2,FALSE),"Ekipa mora imati najmanje "&amp;VLOOKUP($A57,ekipe,2,FALSE)&amp;" člana",IF(COUNTA($F57,$I57,$L57,$O57)&gt;VLOOKUP($A57,ekipe,3,FALSE),"Ekipa može imati najviše "&amp;VLOOKUP($A57,ekipe,3,FALSE)&amp;" člana",IF($B57="","Nedostaje vrsta ekipe","prijava je kompletna")))))))))))</f>
        <v/>
      </c>
      <c r="R57">
        <f>IF($C57="","sve_ekipne","tdisc_"&amp;$C57)</f>
        <v/>
      </c>
    </row>
    <row r="58" spans="1:18">
      <c r="A58" s="5"/>
      <c r="B58" s="5"/>
      <c r="C58" s="7">
        <f>IF($E58="","",LOOKUP($E58,INDEX(grupe,0,1),INDEX(grupe,0,2)))</f>
        <v/>
      </c>
      <c r="D58" s="7">
        <f>IF($C58="","",VLOOKUP($C58,INDEX(grupe,0,2):INDEX(grupe,0,3),2,FALSE))</f>
        <v/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8">
        <f>IF(COUNTA($A58:$B58,$E58,$H58,$K58,$N58,$F58,$I58,$L58,$O58)=0,"",IF($A58="","Nedostaje disciplina",IF($E58="","Nedostaje godište prvog člana",IF($C58="","Godište nije obuhvaćeno uzrasnom tabelom",IF(COUNTIF(INDIRECT("tdisc_"&amp;$C58),$A58)=0,"Disciplina nije moguća za uzrast "&amp;$C58,IF(IF($E58="",0,IF(LOOKUP($E58,INDEX(grupe,0,1),INDEX(grupe,0,2))=$C58,0,1))+IF($H58="",0,IF(LOOKUP($H58,INDEX(grupe,0,1),INDEX(grupe,0,2))=$C58,0,1))+IF($K58="",0,IF(LOOKUP($K58,INDEX(grupe,0,1),INDEX(grupe,0,2))=$C58,0,1))+IF($N58="",0,IF(LOOKUP($N58,INDEX(grupe,0,1),INDEX(grupe,0,2))=$C58,0,1))&gt;0,"Članovi ekipe nisu iz iste uzrasne grupe",IF(COUNTA($F58,$I58,$L58,$O58)&lt;&gt;COUNTA($E58,$H58,$K58,$N58),"Za svakog člana potrebni su i godište i ime",IF(IF(SUMPRODUCT(--ISERROR(FIND(MID($F58&amp;REPT("a",60),ROW($A$1:$A$60),1),"ABCDEFGHIJKLMNOPQRSTUVWXYZabcdefghijklmnopqrstuvwxyzČĆĐŠŽčćđšž -'")))=0,0,1)+IF(SUMPRODUCT(--ISERROR(FIND(MID($I58&amp;REPT("a",60),ROW($A$1:$A$60),1),"ABCDEFGHIJKLMNOPQRSTUVWXYZabcdefghijklmnopqrstuvwxyzČĆĐŠŽčćđšž -'")))=0,0,1)+IF(SUMPRODUCT(--ISERROR(FIND(MID($L58&amp;REPT("a",60),ROW($A$1:$A$60),1),"ABCDEFGHIJKLMNOPQRSTUVWXYZabcdefghijklmnopqrstuvwxyzČĆĐŠŽčćđšž -'")))=0,0,1)+IF(SUMPRODUCT(--ISERROR(FIND(MID($O58&amp;REPT("a",60),ROW($A$1:$A$60),1),"ABCDEFGHIJKLMNOPQRSTUVWXYZabcdefghijklmnopqrstuvwxyzČĆĐŠŽčćđšž -'")))=0,0,1)&gt;0,"Ime sadrži znakove koji nisu slova",IF(COUNTA($G58,$J58,$M58,$P58)&lt;&gt;COUNTA($F58,$I58,$L58,$O58),"Nedostaje pol za nekog od članova",IF(COUNTA($F58,$I58,$L58,$O58)&lt;VLOOKUP($A58,ekipe,2,FALSE),"Ekipa mora imati najmanje "&amp;VLOOKUP($A58,ekipe,2,FALSE)&amp;" člana",IF(COUNTA($F58,$I58,$L58,$O58)&gt;VLOOKUP($A58,ekipe,3,FALSE),"Ekipa može imati najviše "&amp;VLOOKUP($A58,ekipe,3,FALSE)&amp;" člana",IF($B58="","Nedostaje vrsta ekipe","prijava je kompletna")))))))))))</f>
        <v/>
      </c>
      <c r="R58">
        <f>IF($C58="","sve_ekipne","tdisc_"&amp;$C58)</f>
        <v/>
      </c>
    </row>
    <row r="59" spans="1:18">
      <c r="A59" s="5"/>
      <c r="B59" s="5"/>
      <c r="C59" s="7">
        <f>IF($E59="","",LOOKUP($E59,INDEX(grupe,0,1),INDEX(grupe,0,2)))</f>
        <v/>
      </c>
      <c r="D59" s="7">
        <f>IF($C59="","",VLOOKUP($C59,INDEX(grupe,0,2):INDEX(grupe,0,3),2,FALSE))</f>
        <v/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8">
        <f>IF(COUNTA($A59:$B59,$E59,$H59,$K59,$N59,$F59,$I59,$L59,$O59)=0,"",IF($A59="","Nedostaje disciplina",IF($E59="","Nedostaje godište prvog člana",IF($C59="","Godište nije obuhvaćeno uzrasnom tabelom",IF(COUNTIF(INDIRECT("tdisc_"&amp;$C59),$A59)=0,"Disciplina nije moguća za uzrast "&amp;$C59,IF(IF($E59="",0,IF(LOOKUP($E59,INDEX(grupe,0,1),INDEX(grupe,0,2))=$C59,0,1))+IF($H59="",0,IF(LOOKUP($H59,INDEX(grupe,0,1),INDEX(grupe,0,2))=$C59,0,1))+IF($K59="",0,IF(LOOKUP($K59,INDEX(grupe,0,1),INDEX(grupe,0,2))=$C59,0,1))+IF($N59="",0,IF(LOOKUP($N59,INDEX(grupe,0,1),INDEX(grupe,0,2))=$C59,0,1))&gt;0,"Članovi ekipe nisu iz iste uzrasne grupe",IF(COUNTA($F59,$I59,$L59,$O59)&lt;&gt;COUNTA($E59,$H59,$K59,$N59),"Za svakog člana potrebni su i godište i ime",IF(IF(SUMPRODUCT(--ISERROR(FIND(MID($F59&amp;REPT("a",60),ROW($A$1:$A$60),1),"ABCDEFGHIJKLMNOPQRSTUVWXYZabcdefghijklmnopqrstuvwxyzČĆĐŠŽčćđšž -'")))=0,0,1)+IF(SUMPRODUCT(--ISERROR(FIND(MID($I59&amp;REPT("a",60),ROW($A$1:$A$60),1),"ABCDEFGHIJKLMNOPQRSTUVWXYZabcdefghijklmnopqrstuvwxyzČĆĐŠŽčćđšž -'")))=0,0,1)+IF(SUMPRODUCT(--ISERROR(FIND(MID($L59&amp;REPT("a",60),ROW($A$1:$A$60),1),"ABCDEFGHIJKLMNOPQRSTUVWXYZabcdefghijklmnopqrstuvwxyzČĆĐŠŽčćđšž -'")))=0,0,1)+IF(SUMPRODUCT(--ISERROR(FIND(MID($O59&amp;REPT("a",60),ROW($A$1:$A$60),1),"ABCDEFGHIJKLMNOPQRSTUVWXYZabcdefghijklmnopqrstuvwxyzČĆĐŠŽčćđšž -'")))=0,0,1)&gt;0,"Ime sadrži znakove koji nisu slova",IF(COUNTA($G59,$J59,$M59,$P59)&lt;&gt;COUNTA($F59,$I59,$L59,$O59),"Nedostaje pol za nekog od članova",IF(COUNTA($F59,$I59,$L59,$O59)&lt;VLOOKUP($A59,ekipe,2,FALSE),"Ekipa mora imati najmanje "&amp;VLOOKUP($A59,ekipe,2,FALSE)&amp;" člana",IF(COUNTA($F59,$I59,$L59,$O59)&gt;VLOOKUP($A59,ekipe,3,FALSE),"Ekipa može imati najviše "&amp;VLOOKUP($A59,ekipe,3,FALSE)&amp;" člana",IF($B59="","Nedostaje vrsta ekipe","prijava je kompletna")))))))))))</f>
        <v/>
      </c>
      <c r="R59">
        <f>IF($C59="","sve_ekipne","tdisc_"&amp;$C59)</f>
        <v/>
      </c>
    </row>
    <row r="60" spans="1:18">
      <c r="A60" s="5"/>
      <c r="B60" s="5"/>
      <c r="C60" s="7">
        <f>IF($E60="","",LOOKUP($E60,INDEX(grupe,0,1),INDEX(grupe,0,2)))</f>
        <v/>
      </c>
      <c r="D60" s="7">
        <f>IF($C60="","",VLOOKUP($C60,INDEX(grupe,0,2):INDEX(grupe,0,3),2,FALSE))</f>
        <v/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8">
        <f>IF(COUNTA($A60:$B60,$E60,$H60,$K60,$N60,$F60,$I60,$L60,$O60)=0,"",IF($A60="","Nedostaje disciplina",IF($E60="","Nedostaje godište prvog člana",IF($C60="","Godište nije obuhvaćeno uzrasnom tabelom",IF(COUNTIF(INDIRECT("tdisc_"&amp;$C60),$A60)=0,"Disciplina nije moguća za uzrast "&amp;$C60,IF(IF($E60="",0,IF(LOOKUP($E60,INDEX(grupe,0,1),INDEX(grupe,0,2))=$C60,0,1))+IF($H60="",0,IF(LOOKUP($H60,INDEX(grupe,0,1),INDEX(grupe,0,2))=$C60,0,1))+IF($K60="",0,IF(LOOKUP($K60,INDEX(grupe,0,1),INDEX(grupe,0,2))=$C60,0,1))+IF($N60="",0,IF(LOOKUP($N60,INDEX(grupe,0,1),INDEX(grupe,0,2))=$C60,0,1))&gt;0,"Članovi ekipe nisu iz iste uzrasne grupe",IF(COUNTA($F60,$I60,$L60,$O60)&lt;&gt;COUNTA($E60,$H60,$K60,$N60),"Za svakog člana potrebni su i godište i ime",IF(IF(SUMPRODUCT(--ISERROR(FIND(MID($F60&amp;REPT("a",60),ROW($A$1:$A$60),1),"ABCDEFGHIJKLMNOPQRSTUVWXYZabcdefghijklmnopqrstuvwxyzČĆĐŠŽčćđšž -'")))=0,0,1)+IF(SUMPRODUCT(--ISERROR(FIND(MID($I60&amp;REPT("a",60),ROW($A$1:$A$60),1),"ABCDEFGHIJKLMNOPQRSTUVWXYZabcdefghijklmnopqrstuvwxyzČĆĐŠŽčćđšž -'")))=0,0,1)+IF(SUMPRODUCT(--ISERROR(FIND(MID($L60&amp;REPT("a",60),ROW($A$1:$A$60),1),"ABCDEFGHIJKLMNOPQRSTUVWXYZabcdefghijklmnopqrstuvwxyzČĆĐŠŽčćđšž -'")))=0,0,1)+IF(SUMPRODUCT(--ISERROR(FIND(MID($O60&amp;REPT("a",60),ROW($A$1:$A$60),1),"ABCDEFGHIJKLMNOPQRSTUVWXYZabcdefghijklmnopqrstuvwxyzČĆĐŠŽčćđšž -'")))=0,0,1)&gt;0,"Ime sadrži znakove koji nisu slova",IF(COUNTA($G60,$J60,$M60,$P60)&lt;&gt;COUNTA($F60,$I60,$L60,$O60),"Nedostaje pol za nekog od članova",IF(COUNTA($F60,$I60,$L60,$O60)&lt;VLOOKUP($A60,ekipe,2,FALSE),"Ekipa mora imati najmanje "&amp;VLOOKUP($A60,ekipe,2,FALSE)&amp;" člana",IF(COUNTA($F60,$I60,$L60,$O60)&gt;VLOOKUP($A60,ekipe,3,FALSE),"Ekipa može imati najviše "&amp;VLOOKUP($A60,ekipe,3,FALSE)&amp;" člana",IF($B60="","Nedostaje vrsta ekipe","prijava je kompletna")))))))))))</f>
        <v/>
      </c>
      <c r="R60">
        <f>IF($C60="","sve_ekipne","tdisc_"&amp;$C60)</f>
        <v/>
      </c>
    </row>
    <row r="61" spans="1:18">
      <c r="A61" s="5"/>
      <c r="B61" s="5"/>
      <c r="C61" s="7">
        <f>IF($E61="","",LOOKUP($E61,INDEX(grupe,0,1),INDEX(grupe,0,2)))</f>
        <v/>
      </c>
      <c r="D61" s="7">
        <f>IF($C61="","",VLOOKUP($C61,INDEX(grupe,0,2):INDEX(grupe,0,3),2,FALSE))</f>
        <v/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8">
        <f>IF(COUNTA($A61:$B61,$E61,$H61,$K61,$N61,$F61,$I61,$L61,$O61)=0,"",IF($A61="","Nedostaje disciplina",IF($E61="","Nedostaje godište prvog člana",IF($C61="","Godište nije obuhvaćeno uzrasnom tabelom",IF(COUNTIF(INDIRECT("tdisc_"&amp;$C61),$A61)=0,"Disciplina nije moguća za uzrast "&amp;$C61,IF(IF($E61="",0,IF(LOOKUP($E61,INDEX(grupe,0,1),INDEX(grupe,0,2))=$C61,0,1))+IF($H61="",0,IF(LOOKUP($H61,INDEX(grupe,0,1),INDEX(grupe,0,2))=$C61,0,1))+IF($K61="",0,IF(LOOKUP($K61,INDEX(grupe,0,1),INDEX(grupe,0,2))=$C61,0,1))+IF($N61="",0,IF(LOOKUP($N61,INDEX(grupe,0,1),INDEX(grupe,0,2))=$C61,0,1))&gt;0,"Članovi ekipe nisu iz iste uzrasne grupe",IF(COUNTA($F61,$I61,$L61,$O61)&lt;&gt;COUNTA($E61,$H61,$K61,$N61),"Za svakog člana potrebni su i godište i ime",IF(IF(SUMPRODUCT(--ISERROR(FIND(MID($F61&amp;REPT("a",60),ROW($A$1:$A$60),1),"ABCDEFGHIJKLMNOPQRSTUVWXYZabcdefghijklmnopqrstuvwxyzČĆĐŠŽčćđšž -'")))=0,0,1)+IF(SUMPRODUCT(--ISERROR(FIND(MID($I61&amp;REPT("a",60),ROW($A$1:$A$60),1),"ABCDEFGHIJKLMNOPQRSTUVWXYZabcdefghijklmnopqrstuvwxyzČĆĐŠŽčćđšž -'")))=0,0,1)+IF(SUMPRODUCT(--ISERROR(FIND(MID($L61&amp;REPT("a",60),ROW($A$1:$A$60),1),"ABCDEFGHIJKLMNOPQRSTUVWXYZabcdefghijklmnopqrstuvwxyzČĆĐŠŽčćđšž -'")))=0,0,1)+IF(SUMPRODUCT(--ISERROR(FIND(MID($O61&amp;REPT("a",60),ROW($A$1:$A$60),1),"ABCDEFGHIJKLMNOPQRSTUVWXYZabcdefghijklmnopqrstuvwxyzČĆĐŠŽčćđšž -'")))=0,0,1)&gt;0,"Ime sadrži znakove koji nisu slova",IF(COUNTA($G61,$J61,$M61,$P61)&lt;&gt;COUNTA($F61,$I61,$L61,$O61),"Nedostaje pol za nekog od članova",IF(COUNTA($F61,$I61,$L61,$O61)&lt;VLOOKUP($A61,ekipe,2,FALSE),"Ekipa mora imati najmanje "&amp;VLOOKUP($A61,ekipe,2,FALSE)&amp;" člana",IF(COUNTA($F61,$I61,$L61,$O61)&gt;VLOOKUP($A61,ekipe,3,FALSE),"Ekipa može imati najviše "&amp;VLOOKUP($A61,ekipe,3,FALSE)&amp;" člana",IF($B61="","Nedostaje vrsta ekipe","prijava je kompletna")))))))))))</f>
        <v/>
      </c>
      <c r="R61">
        <f>IF($C61="","sve_ekipne","tdisc_"&amp;$C61)</f>
        <v/>
      </c>
    </row>
    <row r="62" spans="1:18">
      <c r="A62" s="5"/>
      <c r="B62" s="5"/>
      <c r="C62" s="7">
        <f>IF($E62="","",LOOKUP($E62,INDEX(grupe,0,1),INDEX(grupe,0,2)))</f>
        <v/>
      </c>
      <c r="D62" s="7">
        <f>IF($C62="","",VLOOKUP($C62,INDEX(grupe,0,2):INDEX(grupe,0,3),2,FALSE))</f>
        <v/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8">
        <f>IF(COUNTA($A62:$B62,$E62,$H62,$K62,$N62,$F62,$I62,$L62,$O62)=0,"",IF($A62="","Nedostaje disciplina",IF($E62="","Nedostaje godište prvog člana",IF($C62="","Godište nije obuhvaćeno uzrasnom tabelom",IF(COUNTIF(INDIRECT("tdisc_"&amp;$C62),$A62)=0,"Disciplina nije moguća za uzrast "&amp;$C62,IF(IF($E62="",0,IF(LOOKUP($E62,INDEX(grupe,0,1),INDEX(grupe,0,2))=$C62,0,1))+IF($H62="",0,IF(LOOKUP($H62,INDEX(grupe,0,1),INDEX(grupe,0,2))=$C62,0,1))+IF($K62="",0,IF(LOOKUP($K62,INDEX(grupe,0,1),INDEX(grupe,0,2))=$C62,0,1))+IF($N62="",0,IF(LOOKUP($N62,INDEX(grupe,0,1),INDEX(grupe,0,2))=$C62,0,1))&gt;0,"Članovi ekipe nisu iz iste uzrasne grupe",IF(COUNTA($F62,$I62,$L62,$O62)&lt;&gt;COUNTA($E62,$H62,$K62,$N62),"Za svakog člana potrebni su i godište i ime",IF(IF(SUMPRODUCT(--ISERROR(FIND(MID($F62&amp;REPT("a",60),ROW($A$1:$A$60),1),"ABCDEFGHIJKLMNOPQRSTUVWXYZabcdefghijklmnopqrstuvwxyzČĆĐŠŽčćđšž -'")))=0,0,1)+IF(SUMPRODUCT(--ISERROR(FIND(MID($I62&amp;REPT("a",60),ROW($A$1:$A$60),1),"ABCDEFGHIJKLMNOPQRSTUVWXYZabcdefghijklmnopqrstuvwxyzČĆĐŠŽčćđšž -'")))=0,0,1)+IF(SUMPRODUCT(--ISERROR(FIND(MID($L62&amp;REPT("a",60),ROW($A$1:$A$60),1),"ABCDEFGHIJKLMNOPQRSTUVWXYZabcdefghijklmnopqrstuvwxyzČĆĐŠŽčćđšž -'")))=0,0,1)+IF(SUMPRODUCT(--ISERROR(FIND(MID($O62&amp;REPT("a",60),ROW($A$1:$A$60),1),"ABCDEFGHIJKLMNOPQRSTUVWXYZabcdefghijklmnopqrstuvwxyzČĆĐŠŽčćđšž -'")))=0,0,1)&gt;0,"Ime sadrži znakove koji nisu slova",IF(COUNTA($G62,$J62,$M62,$P62)&lt;&gt;COUNTA($F62,$I62,$L62,$O62),"Nedostaje pol za nekog od članova",IF(COUNTA($F62,$I62,$L62,$O62)&lt;VLOOKUP($A62,ekipe,2,FALSE),"Ekipa mora imati najmanje "&amp;VLOOKUP($A62,ekipe,2,FALSE)&amp;" člana",IF(COUNTA($F62,$I62,$L62,$O62)&gt;VLOOKUP($A62,ekipe,3,FALSE),"Ekipa može imati najviše "&amp;VLOOKUP($A62,ekipe,3,FALSE)&amp;" člana",IF($B62="","Nedostaje vrsta ekipe","prijava je kompletna")))))))))))</f>
        <v/>
      </c>
      <c r="R62">
        <f>IF($C62="","sve_ekipne","tdisc_"&amp;$C62)</f>
        <v/>
      </c>
    </row>
    <row r="63" spans="1:18">
      <c r="A63" s="5"/>
      <c r="B63" s="5"/>
      <c r="C63" s="7">
        <f>IF($E63="","",LOOKUP($E63,INDEX(grupe,0,1),INDEX(grupe,0,2)))</f>
        <v/>
      </c>
      <c r="D63" s="7">
        <f>IF($C63="","",VLOOKUP($C63,INDEX(grupe,0,2):INDEX(grupe,0,3),2,FALSE))</f>
        <v/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8">
        <f>IF(COUNTA($A63:$B63,$E63,$H63,$K63,$N63,$F63,$I63,$L63,$O63)=0,"",IF($A63="","Nedostaje disciplina",IF($E63="","Nedostaje godište prvog člana",IF($C63="","Godište nije obuhvaćeno uzrasnom tabelom",IF(COUNTIF(INDIRECT("tdisc_"&amp;$C63),$A63)=0,"Disciplina nije moguća za uzrast "&amp;$C63,IF(IF($E63="",0,IF(LOOKUP($E63,INDEX(grupe,0,1),INDEX(grupe,0,2))=$C63,0,1))+IF($H63="",0,IF(LOOKUP($H63,INDEX(grupe,0,1),INDEX(grupe,0,2))=$C63,0,1))+IF($K63="",0,IF(LOOKUP($K63,INDEX(grupe,0,1),INDEX(grupe,0,2))=$C63,0,1))+IF($N63="",0,IF(LOOKUP($N63,INDEX(grupe,0,1),INDEX(grupe,0,2))=$C63,0,1))&gt;0,"Članovi ekipe nisu iz iste uzrasne grupe",IF(COUNTA($F63,$I63,$L63,$O63)&lt;&gt;COUNTA($E63,$H63,$K63,$N63),"Za svakog člana potrebni su i godište i ime",IF(IF(SUMPRODUCT(--ISERROR(FIND(MID($F63&amp;REPT("a",60),ROW($A$1:$A$60),1),"ABCDEFGHIJKLMNOPQRSTUVWXYZabcdefghijklmnopqrstuvwxyzČĆĐŠŽčćđšž -'")))=0,0,1)+IF(SUMPRODUCT(--ISERROR(FIND(MID($I63&amp;REPT("a",60),ROW($A$1:$A$60),1),"ABCDEFGHIJKLMNOPQRSTUVWXYZabcdefghijklmnopqrstuvwxyzČĆĐŠŽčćđšž -'")))=0,0,1)+IF(SUMPRODUCT(--ISERROR(FIND(MID($L63&amp;REPT("a",60),ROW($A$1:$A$60),1),"ABCDEFGHIJKLMNOPQRSTUVWXYZabcdefghijklmnopqrstuvwxyzČĆĐŠŽčćđšž -'")))=0,0,1)+IF(SUMPRODUCT(--ISERROR(FIND(MID($O63&amp;REPT("a",60),ROW($A$1:$A$60),1),"ABCDEFGHIJKLMNOPQRSTUVWXYZabcdefghijklmnopqrstuvwxyzČĆĐŠŽčćđšž -'")))=0,0,1)&gt;0,"Ime sadrži znakove koji nisu slova",IF(COUNTA($G63,$J63,$M63,$P63)&lt;&gt;COUNTA($F63,$I63,$L63,$O63),"Nedostaje pol za nekog od članova",IF(COUNTA($F63,$I63,$L63,$O63)&lt;VLOOKUP($A63,ekipe,2,FALSE),"Ekipa mora imati najmanje "&amp;VLOOKUP($A63,ekipe,2,FALSE)&amp;" člana",IF(COUNTA($F63,$I63,$L63,$O63)&gt;VLOOKUP($A63,ekipe,3,FALSE),"Ekipa može imati najviše "&amp;VLOOKUP($A63,ekipe,3,FALSE)&amp;" člana",IF($B63="","Nedostaje vrsta ekipe","prijava je kompletna")))))))))))</f>
        <v/>
      </c>
      <c r="R63">
        <f>IF($C63="","sve_ekipne","tdisc_"&amp;$C63)</f>
        <v/>
      </c>
    </row>
    <row r="64" spans="1:18">
      <c r="A64" s="5"/>
      <c r="B64" s="5"/>
      <c r="C64" s="7">
        <f>IF($E64="","",LOOKUP($E64,INDEX(grupe,0,1),INDEX(grupe,0,2)))</f>
        <v/>
      </c>
      <c r="D64" s="7">
        <f>IF($C64="","",VLOOKUP($C64,INDEX(grupe,0,2):INDEX(grupe,0,3),2,FALSE))</f>
        <v/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8">
        <f>IF(COUNTA($A64:$B64,$E64,$H64,$K64,$N64,$F64,$I64,$L64,$O64)=0,"",IF($A64="","Nedostaje disciplina",IF($E64="","Nedostaje godište prvog člana",IF($C64="","Godište nije obuhvaćeno uzrasnom tabelom",IF(COUNTIF(INDIRECT("tdisc_"&amp;$C64),$A64)=0,"Disciplina nije moguća za uzrast "&amp;$C64,IF(IF($E64="",0,IF(LOOKUP($E64,INDEX(grupe,0,1),INDEX(grupe,0,2))=$C64,0,1))+IF($H64="",0,IF(LOOKUP($H64,INDEX(grupe,0,1),INDEX(grupe,0,2))=$C64,0,1))+IF($K64="",0,IF(LOOKUP($K64,INDEX(grupe,0,1),INDEX(grupe,0,2))=$C64,0,1))+IF($N64="",0,IF(LOOKUP($N64,INDEX(grupe,0,1),INDEX(grupe,0,2))=$C64,0,1))&gt;0,"Članovi ekipe nisu iz iste uzrasne grupe",IF(COUNTA($F64,$I64,$L64,$O64)&lt;&gt;COUNTA($E64,$H64,$K64,$N64),"Za svakog člana potrebni su i godište i ime",IF(IF(SUMPRODUCT(--ISERROR(FIND(MID($F64&amp;REPT("a",60),ROW($A$1:$A$60),1),"ABCDEFGHIJKLMNOPQRSTUVWXYZabcdefghijklmnopqrstuvwxyzČĆĐŠŽčćđšž -'")))=0,0,1)+IF(SUMPRODUCT(--ISERROR(FIND(MID($I64&amp;REPT("a",60),ROW($A$1:$A$60),1),"ABCDEFGHIJKLMNOPQRSTUVWXYZabcdefghijklmnopqrstuvwxyzČĆĐŠŽčćđšž -'")))=0,0,1)+IF(SUMPRODUCT(--ISERROR(FIND(MID($L64&amp;REPT("a",60),ROW($A$1:$A$60),1),"ABCDEFGHIJKLMNOPQRSTUVWXYZabcdefghijklmnopqrstuvwxyzČĆĐŠŽčćđšž -'")))=0,0,1)+IF(SUMPRODUCT(--ISERROR(FIND(MID($O64&amp;REPT("a",60),ROW($A$1:$A$60),1),"ABCDEFGHIJKLMNOPQRSTUVWXYZabcdefghijklmnopqrstuvwxyzČĆĐŠŽčćđšž -'")))=0,0,1)&gt;0,"Ime sadrži znakove koji nisu slova",IF(COUNTA($G64,$J64,$M64,$P64)&lt;&gt;COUNTA($F64,$I64,$L64,$O64),"Nedostaje pol za nekog od članova",IF(COUNTA($F64,$I64,$L64,$O64)&lt;VLOOKUP($A64,ekipe,2,FALSE),"Ekipa mora imati najmanje "&amp;VLOOKUP($A64,ekipe,2,FALSE)&amp;" člana",IF(COUNTA($F64,$I64,$L64,$O64)&gt;VLOOKUP($A64,ekipe,3,FALSE),"Ekipa može imati najviše "&amp;VLOOKUP($A64,ekipe,3,FALSE)&amp;" člana",IF($B64="","Nedostaje vrsta ekipe","prijava je kompletna")))))))))))</f>
        <v/>
      </c>
      <c r="R64">
        <f>IF($C64="","sve_ekipne","tdisc_"&amp;$C64)</f>
        <v/>
      </c>
    </row>
    <row r="65" spans="1:18">
      <c r="A65" s="5"/>
      <c r="B65" s="5"/>
      <c r="C65" s="7">
        <f>IF($E65="","",LOOKUP($E65,INDEX(grupe,0,1),INDEX(grupe,0,2)))</f>
        <v/>
      </c>
      <c r="D65" s="7">
        <f>IF($C65="","",VLOOKUP($C65,INDEX(grupe,0,2):INDEX(grupe,0,3),2,FALSE))</f>
        <v/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8">
        <f>IF(COUNTA($A65:$B65,$E65,$H65,$K65,$N65,$F65,$I65,$L65,$O65)=0,"",IF($A65="","Nedostaje disciplina",IF($E65="","Nedostaje godište prvog člana",IF($C65="","Godište nije obuhvaćeno uzrasnom tabelom",IF(COUNTIF(INDIRECT("tdisc_"&amp;$C65),$A65)=0,"Disciplina nije moguća za uzrast "&amp;$C65,IF(IF($E65="",0,IF(LOOKUP($E65,INDEX(grupe,0,1),INDEX(grupe,0,2))=$C65,0,1))+IF($H65="",0,IF(LOOKUP($H65,INDEX(grupe,0,1),INDEX(grupe,0,2))=$C65,0,1))+IF($K65="",0,IF(LOOKUP($K65,INDEX(grupe,0,1),INDEX(grupe,0,2))=$C65,0,1))+IF($N65="",0,IF(LOOKUP($N65,INDEX(grupe,0,1),INDEX(grupe,0,2))=$C65,0,1))&gt;0,"Članovi ekipe nisu iz iste uzrasne grupe",IF(COUNTA($F65,$I65,$L65,$O65)&lt;&gt;COUNTA($E65,$H65,$K65,$N65),"Za svakog člana potrebni su i godište i ime",IF(IF(SUMPRODUCT(--ISERROR(FIND(MID($F65&amp;REPT("a",60),ROW($A$1:$A$60),1),"ABCDEFGHIJKLMNOPQRSTUVWXYZabcdefghijklmnopqrstuvwxyzČĆĐŠŽčćđšž -'")))=0,0,1)+IF(SUMPRODUCT(--ISERROR(FIND(MID($I65&amp;REPT("a",60),ROW($A$1:$A$60),1),"ABCDEFGHIJKLMNOPQRSTUVWXYZabcdefghijklmnopqrstuvwxyzČĆĐŠŽčćđšž -'")))=0,0,1)+IF(SUMPRODUCT(--ISERROR(FIND(MID($L65&amp;REPT("a",60),ROW($A$1:$A$60),1),"ABCDEFGHIJKLMNOPQRSTUVWXYZabcdefghijklmnopqrstuvwxyzČĆĐŠŽčćđšž -'")))=0,0,1)+IF(SUMPRODUCT(--ISERROR(FIND(MID($O65&amp;REPT("a",60),ROW($A$1:$A$60),1),"ABCDEFGHIJKLMNOPQRSTUVWXYZabcdefghijklmnopqrstuvwxyzČĆĐŠŽčćđšž -'")))=0,0,1)&gt;0,"Ime sadrži znakove koji nisu slova",IF(COUNTA($G65,$J65,$M65,$P65)&lt;&gt;COUNTA($F65,$I65,$L65,$O65),"Nedostaje pol za nekog od članova",IF(COUNTA($F65,$I65,$L65,$O65)&lt;VLOOKUP($A65,ekipe,2,FALSE),"Ekipa mora imati najmanje "&amp;VLOOKUP($A65,ekipe,2,FALSE)&amp;" člana",IF(COUNTA($F65,$I65,$L65,$O65)&gt;VLOOKUP($A65,ekipe,3,FALSE),"Ekipa može imati najviše "&amp;VLOOKUP($A65,ekipe,3,FALSE)&amp;" člana",IF($B65="","Nedostaje vrsta ekipe","prijava je kompletna")))))))))))</f>
        <v/>
      </c>
      <c r="R65">
        <f>IF($C65="","sve_ekipne","tdisc_"&amp;$C65)</f>
        <v/>
      </c>
    </row>
    <row r="66" spans="1:18">
      <c r="A66" s="5"/>
      <c r="B66" s="5"/>
      <c r="C66" s="7">
        <f>IF($E66="","",LOOKUP($E66,INDEX(grupe,0,1),INDEX(grupe,0,2)))</f>
        <v/>
      </c>
      <c r="D66" s="7">
        <f>IF($C66="","",VLOOKUP($C66,INDEX(grupe,0,2):INDEX(grupe,0,3),2,FALSE))</f>
        <v/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8">
        <f>IF(COUNTA($A66:$B66,$E66,$H66,$K66,$N66,$F66,$I66,$L66,$O66)=0,"",IF($A66="","Nedostaje disciplina",IF($E66="","Nedostaje godište prvog člana",IF($C66="","Godište nije obuhvaćeno uzrasnom tabelom",IF(COUNTIF(INDIRECT("tdisc_"&amp;$C66),$A66)=0,"Disciplina nije moguća za uzrast "&amp;$C66,IF(IF($E66="",0,IF(LOOKUP($E66,INDEX(grupe,0,1),INDEX(grupe,0,2))=$C66,0,1))+IF($H66="",0,IF(LOOKUP($H66,INDEX(grupe,0,1),INDEX(grupe,0,2))=$C66,0,1))+IF($K66="",0,IF(LOOKUP($K66,INDEX(grupe,0,1),INDEX(grupe,0,2))=$C66,0,1))+IF($N66="",0,IF(LOOKUP($N66,INDEX(grupe,0,1),INDEX(grupe,0,2))=$C66,0,1))&gt;0,"Članovi ekipe nisu iz iste uzrasne grupe",IF(COUNTA($F66,$I66,$L66,$O66)&lt;&gt;COUNTA($E66,$H66,$K66,$N66),"Za svakog člana potrebni su i godište i ime",IF(IF(SUMPRODUCT(--ISERROR(FIND(MID($F66&amp;REPT("a",60),ROW($A$1:$A$60),1),"ABCDEFGHIJKLMNOPQRSTUVWXYZabcdefghijklmnopqrstuvwxyzČĆĐŠŽčćđšž -'")))=0,0,1)+IF(SUMPRODUCT(--ISERROR(FIND(MID($I66&amp;REPT("a",60),ROW($A$1:$A$60),1),"ABCDEFGHIJKLMNOPQRSTUVWXYZabcdefghijklmnopqrstuvwxyzČĆĐŠŽčćđšž -'")))=0,0,1)+IF(SUMPRODUCT(--ISERROR(FIND(MID($L66&amp;REPT("a",60),ROW($A$1:$A$60),1),"ABCDEFGHIJKLMNOPQRSTUVWXYZabcdefghijklmnopqrstuvwxyzČĆĐŠŽčćđšž -'")))=0,0,1)+IF(SUMPRODUCT(--ISERROR(FIND(MID($O66&amp;REPT("a",60),ROW($A$1:$A$60),1),"ABCDEFGHIJKLMNOPQRSTUVWXYZabcdefghijklmnopqrstuvwxyzČĆĐŠŽčćđšž -'")))=0,0,1)&gt;0,"Ime sadrži znakove koji nisu slova",IF(COUNTA($G66,$J66,$M66,$P66)&lt;&gt;COUNTA($F66,$I66,$L66,$O66),"Nedostaje pol za nekog od članova",IF(COUNTA($F66,$I66,$L66,$O66)&lt;VLOOKUP($A66,ekipe,2,FALSE),"Ekipa mora imati najmanje "&amp;VLOOKUP($A66,ekipe,2,FALSE)&amp;" člana",IF(COUNTA($F66,$I66,$L66,$O66)&gt;VLOOKUP($A66,ekipe,3,FALSE),"Ekipa može imati najviše "&amp;VLOOKUP($A66,ekipe,3,FALSE)&amp;" člana",IF($B66="","Nedostaje vrsta ekipe","prijava je kompletna")))))))))))</f>
        <v/>
      </c>
      <c r="R66">
        <f>IF($C66="","sve_ekipne","tdisc_"&amp;$C66)</f>
        <v/>
      </c>
    </row>
    <row r="67" spans="1:18">
      <c r="A67" s="5"/>
      <c r="B67" s="5"/>
      <c r="C67" s="7">
        <f>IF($E67="","",LOOKUP($E67,INDEX(grupe,0,1),INDEX(grupe,0,2)))</f>
        <v/>
      </c>
      <c r="D67" s="7">
        <f>IF($C67="","",VLOOKUP($C67,INDEX(grupe,0,2):INDEX(grupe,0,3),2,FALSE))</f>
        <v/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8">
        <f>IF(COUNTA($A67:$B67,$E67,$H67,$K67,$N67,$F67,$I67,$L67,$O67)=0,"",IF($A67="","Nedostaje disciplina",IF($E67="","Nedostaje godište prvog člana",IF($C67="","Godište nije obuhvaćeno uzrasnom tabelom",IF(COUNTIF(INDIRECT("tdisc_"&amp;$C67),$A67)=0,"Disciplina nije moguća za uzrast "&amp;$C67,IF(IF($E67="",0,IF(LOOKUP($E67,INDEX(grupe,0,1),INDEX(grupe,0,2))=$C67,0,1))+IF($H67="",0,IF(LOOKUP($H67,INDEX(grupe,0,1),INDEX(grupe,0,2))=$C67,0,1))+IF($K67="",0,IF(LOOKUP($K67,INDEX(grupe,0,1),INDEX(grupe,0,2))=$C67,0,1))+IF($N67="",0,IF(LOOKUP($N67,INDEX(grupe,0,1),INDEX(grupe,0,2))=$C67,0,1))&gt;0,"Članovi ekipe nisu iz iste uzrasne grupe",IF(COUNTA($F67,$I67,$L67,$O67)&lt;&gt;COUNTA($E67,$H67,$K67,$N67),"Za svakog člana potrebni su i godište i ime",IF(IF(SUMPRODUCT(--ISERROR(FIND(MID($F67&amp;REPT("a",60),ROW($A$1:$A$60),1),"ABCDEFGHIJKLMNOPQRSTUVWXYZabcdefghijklmnopqrstuvwxyzČĆĐŠŽčćđšž -'")))=0,0,1)+IF(SUMPRODUCT(--ISERROR(FIND(MID($I67&amp;REPT("a",60),ROW($A$1:$A$60),1),"ABCDEFGHIJKLMNOPQRSTUVWXYZabcdefghijklmnopqrstuvwxyzČĆĐŠŽčćđšž -'")))=0,0,1)+IF(SUMPRODUCT(--ISERROR(FIND(MID($L67&amp;REPT("a",60),ROW($A$1:$A$60),1),"ABCDEFGHIJKLMNOPQRSTUVWXYZabcdefghijklmnopqrstuvwxyzČĆĐŠŽčćđšž -'")))=0,0,1)+IF(SUMPRODUCT(--ISERROR(FIND(MID($O67&amp;REPT("a",60),ROW($A$1:$A$60),1),"ABCDEFGHIJKLMNOPQRSTUVWXYZabcdefghijklmnopqrstuvwxyzČĆĐŠŽčćđšž -'")))=0,0,1)&gt;0,"Ime sadrži znakove koji nisu slova",IF(COUNTA($G67,$J67,$M67,$P67)&lt;&gt;COUNTA($F67,$I67,$L67,$O67),"Nedostaje pol za nekog od članova",IF(COUNTA($F67,$I67,$L67,$O67)&lt;VLOOKUP($A67,ekipe,2,FALSE),"Ekipa mora imati najmanje "&amp;VLOOKUP($A67,ekipe,2,FALSE)&amp;" člana",IF(COUNTA($F67,$I67,$L67,$O67)&gt;VLOOKUP($A67,ekipe,3,FALSE),"Ekipa može imati najviše "&amp;VLOOKUP($A67,ekipe,3,FALSE)&amp;" člana",IF($B67="","Nedostaje vrsta ekipe","prijava je kompletna")))))))))))</f>
        <v/>
      </c>
      <c r="R67">
        <f>IF($C67="","sve_ekipne","tdisc_"&amp;$C67)</f>
        <v/>
      </c>
    </row>
    <row r="68" spans="1:18">
      <c r="A68" s="5"/>
      <c r="B68" s="5"/>
      <c r="C68" s="7">
        <f>IF($E68="","",LOOKUP($E68,INDEX(grupe,0,1),INDEX(grupe,0,2)))</f>
        <v/>
      </c>
      <c r="D68" s="7">
        <f>IF($C68="","",VLOOKUP($C68,INDEX(grupe,0,2):INDEX(grupe,0,3),2,FALSE))</f>
        <v/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8">
        <f>IF(COUNTA($A68:$B68,$E68,$H68,$K68,$N68,$F68,$I68,$L68,$O68)=0,"",IF($A68="","Nedostaje disciplina",IF($E68="","Nedostaje godište prvog člana",IF($C68="","Godište nije obuhvaćeno uzrasnom tabelom",IF(COUNTIF(INDIRECT("tdisc_"&amp;$C68),$A68)=0,"Disciplina nije moguća za uzrast "&amp;$C68,IF(IF($E68="",0,IF(LOOKUP($E68,INDEX(grupe,0,1),INDEX(grupe,0,2))=$C68,0,1))+IF($H68="",0,IF(LOOKUP($H68,INDEX(grupe,0,1),INDEX(grupe,0,2))=$C68,0,1))+IF($K68="",0,IF(LOOKUP($K68,INDEX(grupe,0,1),INDEX(grupe,0,2))=$C68,0,1))+IF($N68="",0,IF(LOOKUP($N68,INDEX(grupe,0,1),INDEX(grupe,0,2))=$C68,0,1))&gt;0,"Članovi ekipe nisu iz iste uzrasne grupe",IF(COUNTA($F68,$I68,$L68,$O68)&lt;&gt;COUNTA($E68,$H68,$K68,$N68),"Za svakog člana potrebni su i godište i ime",IF(IF(SUMPRODUCT(--ISERROR(FIND(MID($F68&amp;REPT("a",60),ROW($A$1:$A$60),1),"ABCDEFGHIJKLMNOPQRSTUVWXYZabcdefghijklmnopqrstuvwxyzČĆĐŠŽčćđšž -'")))=0,0,1)+IF(SUMPRODUCT(--ISERROR(FIND(MID($I68&amp;REPT("a",60),ROW($A$1:$A$60),1),"ABCDEFGHIJKLMNOPQRSTUVWXYZabcdefghijklmnopqrstuvwxyzČĆĐŠŽčćđšž -'")))=0,0,1)+IF(SUMPRODUCT(--ISERROR(FIND(MID($L68&amp;REPT("a",60),ROW($A$1:$A$60),1),"ABCDEFGHIJKLMNOPQRSTUVWXYZabcdefghijklmnopqrstuvwxyzČĆĐŠŽčćđšž -'")))=0,0,1)+IF(SUMPRODUCT(--ISERROR(FIND(MID($O68&amp;REPT("a",60),ROW($A$1:$A$60),1),"ABCDEFGHIJKLMNOPQRSTUVWXYZabcdefghijklmnopqrstuvwxyzČĆĐŠŽčćđšž -'")))=0,0,1)&gt;0,"Ime sadrži znakove koji nisu slova",IF(COUNTA($G68,$J68,$M68,$P68)&lt;&gt;COUNTA($F68,$I68,$L68,$O68),"Nedostaje pol za nekog od članova",IF(COUNTA($F68,$I68,$L68,$O68)&lt;VLOOKUP($A68,ekipe,2,FALSE),"Ekipa mora imati najmanje "&amp;VLOOKUP($A68,ekipe,2,FALSE)&amp;" člana",IF(COUNTA($F68,$I68,$L68,$O68)&gt;VLOOKUP($A68,ekipe,3,FALSE),"Ekipa može imati najviše "&amp;VLOOKUP($A68,ekipe,3,FALSE)&amp;" člana",IF($B68="","Nedostaje vrsta ekipe","prijava je kompletna")))))))))))</f>
        <v/>
      </c>
      <c r="R68">
        <f>IF($C68="","sve_ekipne","tdisc_"&amp;$C68)</f>
        <v/>
      </c>
    </row>
    <row r="69" spans="1:18">
      <c r="A69" s="5"/>
      <c r="B69" s="5"/>
      <c r="C69" s="7">
        <f>IF($E69="","",LOOKUP($E69,INDEX(grupe,0,1),INDEX(grupe,0,2)))</f>
        <v/>
      </c>
      <c r="D69" s="7">
        <f>IF($C69="","",VLOOKUP($C69,INDEX(grupe,0,2):INDEX(grupe,0,3),2,FALSE))</f>
        <v/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8">
        <f>IF(COUNTA($A69:$B69,$E69,$H69,$K69,$N69,$F69,$I69,$L69,$O69)=0,"",IF($A69="","Nedostaje disciplina",IF($E69="","Nedostaje godište prvog člana",IF($C69="","Godište nije obuhvaćeno uzrasnom tabelom",IF(COUNTIF(INDIRECT("tdisc_"&amp;$C69),$A69)=0,"Disciplina nije moguća za uzrast "&amp;$C69,IF(IF($E69="",0,IF(LOOKUP($E69,INDEX(grupe,0,1),INDEX(grupe,0,2))=$C69,0,1))+IF($H69="",0,IF(LOOKUP($H69,INDEX(grupe,0,1),INDEX(grupe,0,2))=$C69,0,1))+IF($K69="",0,IF(LOOKUP($K69,INDEX(grupe,0,1),INDEX(grupe,0,2))=$C69,0,1))+IF($N69="",0,IF(LOOKUP($N69,INDEX(grupe,0,1),INDEX(grupe,0,2))=$C69,0,1))&gt;0,"Članovi ekipe nisu iz iste uzrasne grupe",IF(COUNTA($F69,$I69,$L69,$O69)&lt;&gt;COUNTA($E69,$H69,$K69,$N69),"Za svakog člana potrebni su i godište i ime",IF(IF(SUMPRODUCT(--ISERROR(FIND(MID($F69&amp;REPT("a",60),ROW($A$1:$A$60),1),"ABCDEFGHIJKLMNOPQRSTUVWXYZabcdefghijklmnopqrstuvwxyzČĆĐŠŽčćđšž -'")))=0,0,1)+IF(SUMPRODUCT(--ISERROR(FIND(MID($I69&amp;REPT("a",60),ROW($A$1:$A$60),1),"ABCDEFGHIJKLMNOPQRSTUVWXYZabcdefghijklmnopqrstuvwxyzČĆĐŠŽčćđšž -'")))=0,0,1)+IF(SUMPRODUCT(--ISERROR(FIND(MID($L69&amp;REPT("a",60),ROW($A$1:$A$60),1),"ABCDEFGHIJKLMNOPQRSTUVWXYZabcdefghijklmnopqrstuvwxyzČĆĐŠŽčćđšž -'")))=0,0,1)+IF(SUMPRODUCT(--ISERROR(FIND(MID($O69&amp;REPT("a",60),ROW($A$1:$A$60),1),"ABCDEFGHIJKLMNOPQRSTUVWXYZabcdefghijklmnopqrstuvwxyzČĆĐŠŽčćđšž -'")))=0,0,1)&gt;0,"Ime sadrži znakove koji nisu slova",IF(COUNTA($G69,$J69,$M69,$P69)&lt;&gt;COUNTA($F69,$I69,$L69,$O69),"Nedostaje pol za nekog od članova",IF(COUNTA($F69,$I69,$L69,$O69)&lt;VLOOKUP($A69,ekipe,2,FALSE),"Ekipa mora imati najmanje "&amp;VLOOKUP($A69,ekipe,2,FALSE)&amp;" člana",IF(COUNTA($F69,$I69,$L69,$O69)&gt;VLOOKUP($A69,ekipe,3,FALSE),"Ekipa može imati najviše "&amp;VLOOKUP($A69,ekipe,3,FALSE)&amp;" člana",IF($B69="","Nedostaje vrsta ekipe","prijava je kompletna")))))))))))</f>
        <v/>
      </c>
      <c r="R69">
        <f>IF($C69="","sve_ekipne","tdisc_"&amp;$C69)</f>
        <v/>
      </c>
    </row>
    <row r="70" spans="1:18">
      <c r="A70" s="5"/>
      <c r="B70" s="5"/>
      <c r="C70" s="7">
        <f>IF($E70="","",LOOKUP($E70,INDEX(grupe,0,1),INDEX(grupe,0,2)))</f>
        <v/>
      </c>
      <c r="D70" s="7">
        <f>IF($C70="","",VLOOKUP($C70,INDEX(grupe,0,2):INDEX(grupe,0,3),2,FALSE))</f>
        <v/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8">
        <f>IF(COUNTA($A70:$B70,$E70,$H70,$K70,$N70,$F70,$I70,$L70,$O70)=0,"",IF($A70="","Nedostaje disciplina",IF($E70="","Nedostaje godište prvog člana",IF($C70="","Godište nije obuhvaćeno uzrasnom tabelom",IF(COUNTIF(INDIRECT("tdisc_"&amp;$C70),$A70)=0,"Disciplina nije moguća za uzrast "&amp;$C70,IF(IF($E70="",0,IF(LOOKUP($E70,INDEX(grupe,0,1),INDEX(grupe,0,2))=$C70,0,1))+IF($H70="",0,IF(LOOKUP($H70,INDEX(grupe,0,1),INDEX(grupe,0,2))=$C70,0,1))+IF($K70="",0,IF(LOOKUP($K70,INDEX(grupe,0,1),INDEX(grupe,0,2))=$C70,0,1))+IF($N70="",0,IF(LOOKUP($N70,INDEX(grupe,0,1),INDEX(grupe,0,2))=$C70,0,1))&gt;0,"Članovi ekipe nisu iz iste uzrasne grupe",IF(COUNTA($F70,$I70,$L70,$O70)&lt;&gt;COUNTA($E70,$H70,$K70,$N70),"Za svakog člana potrebni su i godište i ime",IF(IF(SUMPRODUCT(--ISERROR(FIND(MID($F70&amp;REPT("a",60),ROW($A$1:$A$60),1),"ABCDEFGHIJKLMNOPQRSTUVWXYZabcdefghijklmnopqrstuvwxyzČĆĐŠŽčćđšž -'")))=0,0,1)+IF(SUMPRODUCT(--ISERROR(FIND(MID($I70&amp;REPT("a",60),ROW($A$1:$A$60),1),"ABCDEFGHIJKLMNOPQRSTUVWXYZabcdefghijklmnopqrstuvwxyzČĆĐŠŽčćđšž -'")))=0,0,1)+IF(SUMPRODUCT(--ISERROR(FIND(MID($L70&amp;REPT("a",60),ROW($A$1:$A$60),1),"ABCDEFGHIJKLMNOPQRSTUVWXYZabcdefghijklmnopqrstuvwxyzČĆĐŠŽčćđšž -'")))=0,0,1)+IF(SUMPRODUCT(--ISERROR(FIND(MID($O70&amp;REPT("a",60),ROW($A$1:$A$60),1),"ABCDEFGHIJKLMNOPQRSTUVWXYZabcdefghijklmnopqrstuvwxyzČĆĐŠŽčćđšž -'")))=0,0,1)&gt;0,"Ime sadrži znakove koji nisu slova",IF(COUNTA($G70,$J70,$M70,$P70)&lt;&gt;COUNTA($F70,$I70,$L70,$O70),"Nedostaje pol za nekog od članova",IF(COUNTA($F70,$I70,$L70,$O70)&lt;VLOOKUP($A70,ekipe,2,FALSE),"Ekipa mora imati najmanje "&amp;VLOOKUP($A70,ekipe,2,FALSE)&amp;" člana",IF(COUNTA($F70,$I70,$L70,$O70)&gt;VLOOKUP($A70,ekipe,3,FALSE),"Ekipa može imati najviše "&amp;VLOOKUP($A70,ekipe,3,FALSE)&amp;" člana",IF($B70="","Nedostaje vrsta ekipe","prijava je kompletna")))))))))))</f>
        <v/>
      </c>
      <c r="R70">
        <f>IF($C70="","sve_ekipne","tdisc_"&amp;$C70)</f>
        <v/>
      </c>
    </row>
    <row r="71" spans="1:18">
      <c r="A71" s="5"/>
      <c r="B71" s="5"/>
      <c r="C71" s="7">
        <f>IF($E71="","",LOOKUP($E71,INDEX(grupe,0,1),INDEX(grupe,0,2)))</f>
        <v/>
      </c>
      <c r="D71" s="7">
        <f>IF($C71="","",VLOOKUP($C71,INDEX(grupe,0,2):INDEX(grupe,0,3),2,FALSE))</f>
        <v/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8">
        <f>IF(COUNTA($A71:$B71,$E71,$H71,$K71,$N71,$F71,$I71,$L71,$O71)=0,"",IF($A71="","Nedostaje disciplina",IF($E71="","Nedostaje godište prvog člana",IF($C71="","Godište nije obuhvaćeno uzrasnom tabelom",IF(COUNTIF(INDIRECT("tdisc_"&amp;$C71),$A71)=0,"Disciplina nije moguća za uzrast "&amp;$C71,IF(IF($E71="",0,IF(LOOKUP($E71,INDEX(grupe,0,1),INDEX(grupe,0,2))=$C71,0,1))+IF($H71="",0,IF(LOOKUP($H71,INDEX(grupe,0,1),INDEX(grupe,0,2))=$C71,0,1))+IF($K71="",0,IF(LOOKUP($K71,INDEX(grupe,0,1),INDEX(grupe,0,2))=$C71,0,1))+IF($N71="",0,IF(LOOKUP($N71,INDEX(grupe,0,1),INDEX(grupe,0,2))=$C71,0,1))&gt;0,"Članovi ekipe nisu iz iste uzrasne grupe",IF(COUNTA($F71,$I71,$L71,$O71)&lt;&gt;COUNTA($E71,$H71,$K71,$N71),"Za svakog člana potrebni su i godište i ime",IF(IF(SUMPRODUCT(--ISERROR(FIND(MID($F71&amp;REPT("a",60),ROW($A$1:$A$60),1),"ABCDEFGHIJKLMNOPQRSTUVWXYZabcdefghijklmnopqrstuvwxyzČĆĐŠŽčćđšž -'")))=0,0,1)+IF(SUMPRODUCT(--ISERROR(FIND(MID($I71&amp;REPT("a",60),ROW($A$1:$A$60),1),"ABCDEFGHIJKLMNOPQRSTUVWXYZabcdefghijklmnopqrstuvwxyzČĆĐŠŽčćđšž -'")))=0,0,1)+IF(SUMPRODUCT(--ISERROR(FIND(MID($L71&amp;REPT("a",60),ROW($A$1:$A$60),1),"ABCDEFGHIJKLMNOPQRSTUVWXYZabcdefghijklmnopqrstuvwxyzČĆĐŠŽčćđšž -'")))=0,0,1)+IF(SUMPRODUCT(--ISERROR(FIND(MID($O71&amp;REPT("a",60),ROW($A$1:$A$60),1),"ABCDEFGHIJKLMNOPQRSTUVWXYZabcdefghijklmnopqrstuvwxyzČĆĐŠŽčćđšž -'")))=0,0,1)&gt;0,"Ime sadrži znakove koji nisu slova",IF(COUNTA($G71,$J71,$M71,$P71)&lt;&gt;COUNTA($F71,$I71,$L71,$O71),"Nedostaje pol za nekog od članova",IF(COUNTA($F71,$I71,$L71,$O71)&lt;VLOOKUP($A71,ekipe,2,FALSE),"Ekipa mora imati najmanje "&amp;VLOOKUP($A71,ekipe,2,FALSE)&amp;" člana",IF(COUNTA($F71,$I71,$L71,$O71)&gt;VLOOKUP($A71,ekipe,3,FALSE),"Ekipa može imati najviše "&amp;VLOOKUP($A71,ekipe,3,FALSE)&amp;" člana",IF($B71="","Nedostaje vrsta ekipe","prijava je kompletna")))))))))))</f>
        <v/>
      </c>
      <c r="R71">
        <f>IF($C71="","sve_ekipne","tdisc_"&amp;$C71)</f>
        <v/>
      </c>
    </row>
    <row r="72" spans="1:18">
      <c r="A72" s="5"/>
      <c r="B72" s="5"/>
      <c r="C72" s="7">
        <f>IF($E72="","",LOOKUP($E72,INDEX(grupe,0,1),INDEX(grupe,0,2)))</f>
        <v/>
      </c>
      <c r="D72" s="7">
        <f>IF($C72="","",VLOOKUP($C72,INDEX(grupe,0,2):INDEX(grupe,0,3),2,FALSE))</f>
        <v/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8">
        <f>IF(COUNTA($A72:$B72,$E72,$H72,$K72,$N72,$F72,$I72,$L72,$O72)=0,"",IF($A72="","Nedostaje disciplina",IF($E72="","Nedostaje godište prvog člana",IF($C72="","Godište nije obuhvaćeno uzrasnom tabelom",IF(COUNTIF(INDIRECT("tdisc_"&amp;$C72),$A72)=0,"Disciplina nije moguća za uzrast "&amp;$C72,IF(IF($E72="",0,IF(LOOKUP($E72,INDEX(grupe,0,1),INDEX(grupe,0,2))=$C72,0,1))+IF($H72="",0,IF(LOOKUP($H72,INDEX(grupe,0,1),INDEX(grupe,0,2))=$C72,0,1))+IF($K72="",0,IF(LOOKUP($K72,INDEX(grupe,0,1),INDEX(grupe,0,2))=$C72,0,1))+IF($N72="",0,IF(LOOKUP($N72,INDEX(grupe,0,1),INDEX(grupe,0,2))=$C72,0,1))&gt;0,"Članovi ekipe nisu iz iste uzrasne grupe",IF(COUNTA($F72,$I72,$L72,$O72)&lt;&gt;COUNTA($E72,$H72,$K72,$N72),"Za svakog člana potrebni su i godište i ime",IF(IF(SUMPRODUCT(--ISERROR(FIND(MID($F72&amp;REPT("a",60),ROW($A$1:$A$60),1),"ABCDEFGHIJKLMNOPQRSTUVWXYZabcdefghijklmnopqrstuvwxyzČĆĐŠŽčćđšž -'")))=0,0,1)+IF(SUMPRODUCT(--ISERROR(FIND(MID($I72&amp;REPT("a",60),ROW($A$1:$A$60),1),"ABCDEFGHIJKLMNOPQRSTUVWXYZabcdefghijklmnopqrstuvwxyzČĆĐŠŽčćđšž -'")))=0,0,1)+IF(SUMPRODUCT(--ISERROR(FIND(MID($L72&amp;REPT("a",60),ROW($A$1:$A$60),1),"ABCDEFGHIJKLMNOPQRSTUVWXYZabcdefghijklmnopqrstuvwxyzČĆĐŠŽčćđšž -'")))=0,0,1)+IF(SUMPRODUCT(--ISERROR(FIND(MID($O72&amp;REPT("a",60),ROW($A$1:$A$60),1),"ABCDEFGHIJKLMNOPQRSTUVWXYZabcdefghijklmnopqrstuvwxyzČĆĐŠŽčćđšž -'")))=0,0,1)&gt;0,"Ime sadrži znakove koji nisu slova",IF(COUNTA($G72,$J72,$M72,$P72)&lt;&gt;COUNTA($F72,$I72,$L72,$O72),"Nedostaje pol za nekog od članova",IF(COUNTA($F72,$I72,$L72,$O72)&lt;VLOOKUP($A72,ekipe,2,FALSE),"Ekipa mora imati najmanje "&amp;VLOOKUP($A72,ekipe,2,FALSE)&amp;" člana",IF(COUNTA($F72,$I72,$L72,$O72)&gt;VLOOKUP($A72,ekipe,3,FALSE),"Ekipa može imati najviše "&amp;VLOOKUP($A72,ekipe,3,FALSE)&amp;" člana",IF($B72="","Nedostaje vrsta ekipe","prijava je kompletna")))))))))))</f>
        <v/>
      </c>
      <c r="R72">
        <f>IF($C72="","sve_ekipne","tdisc_"&amp;$C72)</f>
        <v/>
      </c>
    </row>
    <row r="73" spans="1:18">
      <c r="A73" s="5"/>
      <c r="B73" s="5"/>
      <c r="C73" s="7">
        <f>IF($E73="","",LOOKUP($E73,INDEX(grupe,0,1),INDEX(grupe,0,2)))</f>
        <v/>
      </c>
      <c r="D73" s="7">
        <f>IF($C73="","",VLOOKUP($C73,INDEX(grupe,0,2):INDEX(grupe,0,3),2,FALSE))</f>
        <v/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8">
        <f>IF(COUNTA($A73:$B73,$E73,$H73,$K73,$N73,$F73,$I73,$L73,$O73)=0,"",IF($A73="","Nedostaje disciplina",IF($E73="","Nedostaje godište prvog člana",IF($C73="","Godište nije obuhvaćeno uzrasnom tabelom",IF(COUNTIF(INDIRECT("tdisc_"&amp;$C73),$A73)=0,"Disciplina nije moguća za uzrast "&amp;$C73,IF(IF($E73="",0,IF(LOOKUP($E73,INDEX(grupe,0,1),INDEX(grupe,0,2))=$C73,0,1))+IF($H73="",0,IF(LOOKUP($H73,INDEX(grupe,0,1),INDEX(grupe,0,2))=$C73,0,1))+IF($K73="",0,IF(LOOKUP($K73,INDEX(grupe,0,1),INDEX(grupe,0,2))=$C73,0,1))+IF($N73="",0,IF(LOOKUP($N73,INDEX(grupe,0,1),INDEX(grupe,0,2))=$C73,0,1))&gt;0,"Članovi ekipe nisu iz iste uzrasne grupe",IF(COUNTA($F73,$I73,$L73,$O73)&lt;&gt;COUNTA($E73,$H73,$K73,$N73),"Za svakog člana potrebni su i godište i ime",IF(IF(SUMPRODUCT(--ISERROR(FIND(MID($F73&amp;REPT("a",60),ROW($A$1:$A$60),1),"ABCDEFGHIJKLMNOPQRSTUVWXYZabcdefghijklmnopqrstuvwxyzČĆĐŠŽčćđšž -'")))=0,0,1)+IF(SUMPRODUCT(--ISERROR(FIND(MID($I73&amp;REPT("a",60),ROW($A$1:$A$60),1),"ABCDEFGHIJKLMNOPQRSTUVWXYZabcdefghijklmnopqrstuvwxyzČĆĐŠŽčćđšž -'")))=0,0,1)+IF(SUMPRODUCT(--ISERROR(FIND(MID($L73&amp;REPT("a",60),ROW($A$1:$A$60),1),"ABCDEFGHIJKLMNOPQRSTUVWXYZabcdefghijklmnopqrstuvwxyzČĆĐŠŽčćđšž -'")))=0,0,1)+IF(SUMPRODUCT(--ISERROR(FIND(MID($O73&amp;REPT("a",60),ROW($A$1:$A$60),1),"ABCDEFGHIJKLMNOPQRSTUVWXYZabcdefghijklmnopqrstuvwxyzČĆĐŠŽčćđšž -'")))=0,0,1)&gt;0,"Ime sadrži znakove koji nisu slova",IF(COUNTA($G73,$J73,$M73,$P73)&lt;&gt;COUNTA($F73,$I73,$L73,$O73),"Nedostaje pol za nekog od članova",IF(COUNTA($F73,$I73,$L73,$O73)&lt;VLOOKUP($A73,ekipe,2,FALSE),"Ekipa mora imati najmanje "&amp;VLOOKUP($A73,ekipe,2,FALSE)&amp;" člana",IF(COUNTA($F73,$I73,$L73,$O73)&gt;VLOOKUP($A73,ekipe,3,FALSE),"Ekipa može imati najviše "&amp;VLOOKUP($A73,ekipe,3,FALSE)&amp;" člana",IF($B73="","Nedostaje vrsta ekipe","prijava je kompletna")))))))))))</f>
        <v/>
      </c>
      <c r="R73">
        <f>IF($C73="","sve_ekipne","tdisc_"&amp;$C73)</f>
        <v/>
      </c>
    </row>
    <row r="74" spans="1:18">
      <c r="A74" s="5"/>
      <c r="B74" s="5"/>
      <c r="C74" s="7">
        <f>IF($E74="","",LOOKUP($E74,INDEX(grupe,0,1),INDEX(grupe,0,2)))</f>
        <v/>
      </c>
      <c r="D74" s="7">
        <f>IF($C74="","",VLOOKUP($C74,INDEX(grupe,0,2):INDEX(grupe,0,3),2,FALSE))</f>
        <v/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8">
        <f>IF(COUNTA($A74:$B74,$E74,$H74,$K74,$N74,$F74,$I74,$L74,$O74)=0,"",IF($A74="","Nedostaje disciplina",IF($E74="","Nedostaje godište prvog člana",IF($C74="","Godište nije obuhvaćeno uzrasnom tabelom",IF(COUNTIF(INDIRECT("tdisc_"&amp;$C74),$A74)=0,"Disciplina nije moguća za uzrast "&amp;$C74,IF(IF($E74="",0,IF(LOOKUP($E74,INDEX(grupe,0,1),INDEX(grupe,0,2))=$C74,0,1))+IF($H74="",0,IF(LOOKUP($H74,INDEX(grupe,0,1),INDEX(grupe,0,2))=$C74,0,1))+IF($K74="",0,IF(LOOKUP($K74,INDEX(grupe,0,1),INDEX(grupe,0,2))=$C74,0,1))+IF($N74="",0,IF(LOOKUP($N74,INDEX(grupe,0,1),INDEX(grupe,0,2))=$C74,0,1))&gt;0,"Članovi ekipe nisu iz iste uzrasne grupe",IF(COUNTA($F74,$I74,$L74,$O74)&lt;&gt;COUNTA($E74,$H74,$K74,$N74),"Za svakog člana potrebni su i godište i ime",IF(IF(SUMPRODUCT(--ISERROR(FIND(MID($F74&amp;REPT("a",60),ROW($A$1:$A$60),1),"ABCDEFGHIJKLMNOPQRSTUVWXYZabcdefghijklmnopqrstuvwxyzČĆĐŠŽčćđšž -'")))=0,0,1)+IF(SUMPRODUCT(--ISERROR(FIND(MID($I74&amp;REPT("a",60),ROW($A$1:$A$60),1),"ABCDEFGHIJKLMNOPQRSTUVWXYZabcdefghijklmnopqrstuvwxyzČĆĐŠŽčćđšž -'")))=0,0,1)+IF(SUMPRODUCT(--ISERROR(FIND(MID($L74&amp;REPT("a",60),ROW($A$1:$A$60),1),"ABCDEFGHIJKLMNOPQRSTUVWXYZabcdefghijklmnopqrstuvwxyzČĆĐŠŽčćđšž -'")))=0,0,1)+IF(SUMPRODUCT(--ISERROR(FIND(MID($O74&amp;REPT("a",60),ROW($A$1:$A$60),1),"ABCDEFGHIJKLMNOPQRSTUVWXYZabcdefghijklmnopqrstuvwxyzČĆĐŠŽčćđšž -'")))=0,0,1)&gt;0,"Ime sadrži znakove koji nisu slova",IF(COUNTA($G74,$J74,$M74,$P74)&lt;&gt;COUNTA($F74,$I74,$L74,$O74),"Nedostaje pol za nekog od članova",IF(COUNTA($F74,$I74,$L74,$O74)&lt;VLOOKUP($A74,ekipe,2,FALSE),"Ekipa mora imati najmanje "&amp;VLOOKUP($A74,ekipe,2,FALSE)&amp;" člana",IF(COUNTA($F74,$I74,$L74,$O74)&gt;VLOOKUP($A74,ekipe,3,FALSE),"Ekipa može imati najviše "&amp;VLOOKUP($A74,ekipe,3,FALSE)&amp;" člana",IF($B74="","Nedostaje vrsta ekipe","prijava je kompletna")))))))))))</f>
        <v/>
      </c>
      <c r="R74">
        <f>IF($C74="","sve_ekipne","tdisc_"&amp;$C74)</f>
        <v/>
      </c>
    </row>
    <row r="75" spans="1:18">
      <c r="A75" s="5"/>
      <c r="B75" s="5"/>
      <c r="C75" s="7">
        <f>IF($E75="","",LOOKUP($E75,INDEX(grupe,0,1),INDEX(grupe,0,2)))</f>
        <v/>
      </c>
      <c r="D75" s="7">
        <f>IF($C75="","",VLOOKUP($C75,INDEX(grupe,0,2):INDEX(grupe,0,3),2,FALSE))</f>
        <v/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8">
        <f>IF(COUNTA($A75:$B75,$E75,$H75,$K75,$N75,$F75,$I75,$L75,$O75)=0,"",IF($A75="","Nedostaje disciplina",IF($E75="","Nedostaje godište prvog člana",IF($C75="","Godište nije obuhvaćeno uzrasnom tabelom",IF(COUNTIF(INDIRECT("tdisc_"&amp;$C75),$A75)=0,"Disciplina nije moguća za uzrast "&amp;$C75,IF(IF($E75="",0,IF(LOOKUP($E75,INDEX(grupe,0,1),INDEX(grupe,0,2))=$C75,0,1))+IF($H75="",0,IF(LOOKUP($H75,INDEX(grupe,0,1),INDEX(grupe,0,2))=$C75,0,1))+IF($K75="",0,IF(LOOKUP($K75,INDEX(grupe,0,1),INDEX(grupe,0,2))=$C75,0,1))+IF($N75="",0,IF(LOOKUP($N75,INDEX(grupe,0,1),INDEX(grupe,0,2))=$C75,0,1))&gt;0,"Članovi ekipe nisu iz iste uzrasne grupe",IF(COUNTA($F75,$I75,$L75,$O75)&lt;&gt;COUNTA($E75,$H75,$K75,$N75),"Za svakog člana potrebni su i godište i ime",IF(IF(SUMPRODUCT(--ISERROR(FIND(MID($F75&amp;REPT("a",60),ROW($A$1:$A$60),1),"ABCDEFGHIJKLMNOPQRSTUVWXYZabcdefghijklmnopqrstuvwxyzČĆĐŠŽčćđšž -'")))=0,0,1)+IF(SUMPRODUCT(--ISERROR(FIND(MID($I75&amp;REPT("a",60),ROW($A$1:$A$60),1),"ABCDEFGHIJKLMNOPQRSTUVWXYZabcdefghijklmnopqrstuvwxyzČĆĐŠŽčćđšž -'")))=0,0,1)+IF(SUMPRODUCT(--ISERROR(FIND(MID($L75&amp;REPT("a",60),ROW($A$1:$A$60),1),"ABCDEFGHIJKLMNOPQRSTUVWXYZabcdefghijklmnopqrstuvwxyzČĆĐŠŽčćđšž -'")))=0,0,1)+IF(SUMPRODUCT(--ISERROR(FIND(MID($O75&amp;REPT("a",60),ROW($A$1:$A$60),1),"ABCDEFGHIJKLMNOPQRSTUVWXYZabcdefghijklmnopqrstuvwxyzČĆĐŠŽčćđšž -'")))=0,0,1)&gt;0,"Ime sadrži znakove koji nisu slova",IF(COUNTA($G75,$J75,$M75,$P75)&lt;&gt;COUNTA($F75,$I75,$L75,$O75),"Nedostaje pol za nekog od članova",IF(COUNTA($F75,$I75,$L75,$O75)&lt;VLOOKUP($A75,ekipe,2,FALSE),"Ekipa mora imati najmanje "&amp;VLOOKUP($A75,ekipe,2,FALSE)&amp;" člana",IF(COUNTA($F75,$I75,$L75,$O75)&gt;VLOOKUP($A75,ekipe,3,FALSE),"Ekipa može imati najviše "&amp;VLOOKUP($A75,ekipe,3,FALSE)&amp;" člana",IF($B75="","Nedostaje vrsta ekipe","prijava je kompletna")))))))))))</f>
        <v/>
      </c>
      <c r="R75">
        <f>IF($C75="","sve_ekipne","tdisc_"&amp;$C75)</f>
        <v/>
      </c>
    </row>
    <row r="76" spans="1:18">
      <c r="A76" s="5"/>
      <c r="B76" s="5"/>
      <c r="C76" s="7">
        <f>IF($E76="","",LOOKUP($E76,INDEX(grupe,0,1),INDEX(grupe,0,2)))</f>
        <v/>
      </c>
      <c r="D76" s="7">
        <f>IF($C76="","",VLOOKUP($C76,INDEX(grupe,0,2):INDEX(grupe,0,3),2,FALSE))</f>
        <v/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8">
        <f>IF(COUNTA($A76:$B76,$E76,$H76,$K76,$N76,$F76,$I76,$L76,$O76)=0,"",IF($A76="","Nedostaje disciplina",IF($E76="","Nedostaje godište prvog člana",IF($C76="","Godište nije obuhvaćeno uzrasnom tabelom",IF(COUNTIF(INDIRECT("tdisc_"&amp;$C76),$A76)=0,"Disciplina nije moguća za uzrast "&amp;$C76,IF(IF($E76="",0,IF(LOOKUP($E76,INDEX(grupe,0,1),INDEX(grupe,0,2))=$C76,0,1))+IF($H76="",0,IF(LOOKUP($H76,INDEX(grupe,0,1),INDEX(grupe,0,2))=$C76,0,1))+IF($K76="",0,IF(LOOKUP($K76,INDEX(grupe,0,1),INDEX(grupe,0,2))=$C76,0,1))+IF($N76="",0,IF(LOOKUP($N76,INDEX(grupe,0,1),INDEX(grupe,0,2))=$C76,0,1))&gt;0,"Članovi ekipe nisu iz iste uzrasne grupe",IF(COUNTA($F76,$I76,$L76,$O76)&lt;&gt;COUNTA($E76,$H76,$K76,$N76),"Za svakog člana potrebni su i godište i ime",IF(IF(SUMPRODUCT(--ISERROR(FIND(MID($F76&amp;REPT("a",60),ROW($A$1:$A$60),1),"ABCDEFGHIJKLMNOPQRSTUVWXYZabcdefghijklmnopqrstuvwxyzČĆĐŠŽčćđšž -'")))=0,0,1)+IF(SUMPRODUCT(--ISERROR(FIND(MID($I76&amp;REPT("a",60),ROW($A$1:$A$60),1),"ABCDEFGHIJKLMNOPQRSTUVWXYZabcdefghijklmnopqrstuvwxyzČĆĐŠŽčćđšž -'")))=0,0,1)+IF(SUMPRODUCT(--ISERROR(FIND(MID($L76&amp;REPT("a",60),ROW($A$1:$A$60),1),"ABCDEFGHIJKLMNOPQRSTUVWXYZabcdefghijklmnopqrstuvwxyzČĆĐŠŽčćđšž -'")))=0,0,1)+IF(SUMPRODUCT(--ISERROR(FIND(MID($O76&amp;REPT("a",60),ROW($A$1:$A$60),1),"ABCDEFGHIJKLMNOPQRSTUVWXYZabcdefghijklmnopqrstuvwxyzČĆĐŠŽčćđšž -'")))=0,0,1)&gt;0,"Ime sadrži znakove koji nisu slova",IF(COUNTA($G76,$J76,$M76,$P76)&lt;&gt;COUNTA($F76,$I76,$L76,$O76),"Nedostaje pol za nekog od članova",IF(COUNTA($F76,$I76,$L76,$O76)&lt;VLOOKUP($A76,ekipe,2,FALSE),"Ekipa mora imati najmanje "&amp;VLOOKUP($A76,ekipe,2,FALSE)&amp;" člana",IF(COUNTA($F76,$I76,$L76,$O76)&gt;VLOOKUP($A76,ekipe,3,FALSE),"Ekipa može imati najviše "&amp;VLOOKUP($A76,ekipe,3,FALSE)&amp;" člana",IF($B76="","Nedostaje vrsta ekipe","prijava je kompletna")))))))))))</f>
        <v/>
      </c>
      <c r="R76">
        <f>IF($C76="","sve_ekipne","tdisc_"&amp;$C76)</f>
        <v/>
      </c>
    </row>
    <row r="77" spans="1:18">
      <c r="A77" s="5"/>
      <c r="B77" s="5"/>
      <c r="C77" s="7">
        <f>IF($E77="","",LOOKUP($E77,INDEX(grupe,0,1),INDEX(grupe,0,2)))</f>
        <v/>
      </c>
      <c r="D77" s="7">
        <f>IF($C77="","",VLOOKUP($C77,INDEX(grupe,0,2):INDEX(grupe,0,3),2,FALSE))</f>
        <v/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8">
        <f>IF(COUNTA($A77:$B77,$E77,$H77,$K77,$N77,$F77,$I77,$L77,$O77)=0,"",IF($A77="","Nedostaje disciplina",IF($E77="","Nedostaje godište prvog člana",IF($C77="","Godište nije obuhvaćeno uzrasnom tabelom",IF(COUNTIF(INDIRECT("tdisc_"&amp;$C77),$A77)=0,"Disciplina nije moguća za uzrast "&amp;$C77,IF(IF($E77="",0,IF(LOOKUP($E77,INDEX(grupe,0,1),INDEX(grupe,0,2))=$C77,0,1))+IF($H77="",0,IF(LOOKUP($H77,INDEX(grupe,0,1),INDEX(grupe,0,2))=$C77,0,1))+IF($K77="",0,IF(LOOKUP($K77,INDEX(grupe,0,1),INDEX(grupe,0,2))=$C77,0,1))+IF($N77="",0,IF(LOOKUP($N77,INDEX(grupe,0,1),INDEX(grupe,0,2))=$C77,0,1))&gt;0,"Članovi ekipe nisu iz iste uzrasne grupe",IF(COUNTA($F77,$I77,$L77,$O77)&lt;&gt;COUNTA($E77,$H77,$K77,$N77),"Za svakog člana potrebni su i godište i ime",IF(IF(SUMPRODUCT(--ISERROR(FIND(MID($F77&amp;REPT("a",60),ROW($A$1:$A$60),1),"ABCDEFGHIJKLMNOPQRSTUVWXYZabcdefghijklmnopqrstuvwxyzČĆĐŠŽčćđšž -'")))=0,0,1)+IF(SUMPRODUCT(--ISERROR(FIND(MID($I77&amp;REPT("a",60),ROW($A$1:$A$60),1),"ABCDEFGHIJKLMNOPQRSTUVWXYZabcdefghijklmnopqrstuvwxyzČĆĐŠŽčćđšž -'")))=0,0,1)+IF(SUMPRODUCT(--ISERROR(FIND(MID($L77&amp;REPT("a",60),ROW($A$1:$A$60),1),"ABCDEFGHIJKLMNOPQRSTUVWXYZabcdefghijklmnopqrstuvwxyzČĆĐŠŽčćđšž -'")))=0,0,1)+IF(SUMPRODUCT(--ISERROR(FIND(MID($O77&amp;REPT("a",60),ROW($A$1:$A$60),1),"ABCDEFGHIJKLMNOPQRSTUVWXYZabcdefghijklmnopqrstuvwxyzČĆĐŠŽčćđšž -'")))=0,0,1)&gt;0,"Ime sadrži znakove koji nisu slova",IF(COUNTA($G77,$J77,$M77,$P77)&lt;&gt;COUNTA($F77,$I77,$L77,$O77),"Nedostaje pol za nekog od članova",IF(COUNTA($F77,$I77,$L77,$O77)&lt;VLOOKUP($A77,ekipe,2,FALSE),"Ekipa mora imati najmanje "&amp;VLOOKUP($A77,ekipe,2,FALSE)&amp;" člana",IF(COUNTA($F77,$I77,$L77,$O77)&gt;VLOOKUP($A77,ekipe,3,FALSE),"Ekipa može imati najviše "&amp;VLOOKUP($A77,ekipe,3,FALSE)&amp;" člana",IF($B77="","Nedostaje vrsta ekipe","prijava je kompletna")))))))))))</f>
        <v/>
      </c>
      <c r="R77">
        <f>IF($C77="","sve_ekipne","tdisc_"&amp;$C77)</f>
        <v/>
      </c>
    </row>
    <row r="78" spans="1:18">
      <c r="A78" s="5"/>
      <c r="B78" s="5"/>
      <c r="C78" s="7">
        <f>IF($E78="","",LOOKUP($E78,INDEX(grupe,0,1),INDEX(grupe,0,2)))</f>
        <v/>
      </c>
      <c r="D78" s="7">
        <f>IF($C78="","",VLOOKUP($C78,INDEX(grupe,0,2):INDEX(grupe,0,3),2,FALSE))</f>
        <v/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8">
        <f>IF(COUNTA($A78:$B78,$E78,$H78,$K78,$N78,$F78,$I78,$L78,$O78)=0,"",IF($A78="","Nedostaje disciplina",IF($E78="","Nedostaje godište prvog člana",IF($C78="","Godište nije obuhvaćeno uzrasnom tabelom",IF(COUNTIF(INDIRECT("tdisc_"&amp;$C78),$A78)=0,"Disciplina nije moguća za uzrast "&amp;$C78,IF(IF($E78="",0,IF(LOOKUP($E78,INDEX(grupe,0,1),INDEX(grupe,0,2))=$C78,0,1))+IF($H78="",0,IF(LOOKUP($H78,INDEX(grupe,0,1),INDEX(grupe,0,2))=$C78,0,1))+IF($K78="",0,IF(LOOKUP($K78,INDEX(grupe,0,1),INDEX(grupe,0,2))=$C78,0,1))+IF($N78="",0,IF(LOOKUP($N78,INDEX(grupe,0,1),INDEX(grupe,0,2))=$C78,0,1))&gt;0,"Članovi ekipe nisu iz iste uzrasne grupe",IF(COUNTA($F78,$I78,$L78,$O78)&lt;&gt;COUNTA($E78,$H78,$K78,$N78),"Za svakog člana potrebni su i godište i ime",IF(IF(SUMPRODUCT(--ISERROR(FIND(MID($F78&amp;REPT("a",60),ROW($A$1:$A$60),1),"ABCDEFGHIJKLMNOPQRSTUVWXYZabcdefghijklmnopqrstuvwxyzČĆĐŠŽčćđšž -'")))=0,0,1)+IF(SUMPRODUCT(--ISERROR(FIND(MID($I78&amp;REPT("a",60),ROW($A$1:$A$60),1),"ABCDEFGHIJKLMNOPQRSTUVWXYZabcdefghijklmnopqrstuvwxyzČĆĐŠŽčćđšž -'")))=0,0,1)+IF(SUMPRODUCT(--ISERROR(FIND(MID($L78&amp;REPT("a",60),ROW($A$1:$A$60),1),"ABCDEFGHIJKLMNOPQRSTUVWXYZabcdefghijklmnopqrstuvwxyzČĆĐŠŽčćđšž -'")))=0,0,1)+IF(SUMPRODUCT(--ISERROR(FIND(MID($O78&amp;REPT("a",60),ROW($A$1:$A$60),1),"ABCDEFGHIJKLMNOPQRSTUVWXYZabcdefghijklmnopqrstuvwxyzČĆĐŠŽčćđšž -'")))=0,0,1)&gt;0,"Ime sadrži znakove koji nisu slova",IF(COUNTA($G78,$J78,$M78,$P78)&lt;&gt;COUNTA($F78,$I78,$L78,$O78),"Nedostaje pol za nekog od članova",IF(COUNTA($F78,$I78,$L78,$O78)&lt;VLOOKUP($A78,ekipe,2,FALSE),"Ekipa mora imati najmanje "&amp;VLOOKUP($A78,ekipe,2,FALSE)&amp;" člana",IF(COUNTA($F78,$I78,$L78,$O78)&gt;VLOOKUP($A78,ekipe,3,FALSE),"Ekipa može imati najviše "&amp;VLOOKUP($A78,ekipe,3,FALSE)&amp;" člana",IF($B78="","Nedostaje vrsta ekipe","prijava je kompletna")))))))))))</f>
        <v/>
      </c>
      <c r="R78">
        <f>IF($C78="","sve_ekipne","tdisc_"&amp;$C78)</f>
        <v/>
      </c>
    </row>
    <row r="79" spans="1:18">
      <c r="A79" s="5"/>
      <c r="B79" s="5"/>
      <c r="C79" s="7">
        <f>IF($E79="","",LOOKUP($E79,INDEX(grupe,0,1),INDEX(grupe,0,2)))</f>
        <v/>
      </c>
      <c r="D79" s="7">
        <f>IF($C79="","",VLOOKUP($C79,INDEX(grupe,0,2):INDEX(grupe,0,3),2,FALSE))</f>
        <v/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8">
        <f>IF(COUNTA($A79:$B79,$E79,$H79,$K79,$N79,$F79,$I79,$L79,$O79)=0,"",IF($A79="","Nedostaje disciplina",IF($E79="","Nedostaje godište prvog člana",IF($C79="","Godište nije obuhvaćeno uzrasnom tabelom",IF(COUNTIF(INDIRECT("tdisc_"&amp;$C79),$A79)=0,"Disciplina nije moguća za uzrast "&amp;$C79,IF(IF($E79="",0,IF(LOOKUP($E79,INDEX(grupe,0,1),INDEX(grupe,0,2))=$C79,0,1))+IF($H79="",0,IF(LOOKUP($H79,INDEX(grupe,0,1),INDEX(grupe,0,2))=$C79,0,1))+IF($K79="",0,IF(LOOKUP($K79,INDEX(grupe,0,1),INDEX(grupe,0,2))=$C79,0,1))+IF($N79="",0,IF(LOOKUP($N79,INDEX(grupe,0,1),INDEX(grupe,0,2))=$C79,0,1))&gt;0,"Članovi ekipe nisu iz iste uzrasne grupe",IF(COUNTA($F79,$I79,$L79,$O79)&lt;&gt;COUNTA($E79,$H79,$K79,$N79),"Za svakog člana potrebni su i godište i ime",IF(IF(SUMPRODUCT(--ISERROR(FIND(MID($F79&amp;REPT("a",60),ROW($A$1:$A$60),1),"ABCDEFGHIJKLMNOPQRSTUVWXYZabcdefghijklmnopqrstuvwxyzČĆĐŠŽčćđšž -'")))=0,0,1)+IF(SUMPRODUCT(--ISERROR(FIND(MID($I79&amp;REPT("a",60),ROW($A$1:$A$60),1),"ABCDEFGHIJKLMNOPQRSTUVWXYZabcdefghijklmnopqrstuvwxyzČĆĐŠŽčćđšž -'")))=0,0,1)+IF(SUMPRODUCT(--ISERROR(FIND(MID($L79&amp;REPT("a",60),ROW($A$1:$A$60),1),"ABCDEFGHIJKLMNOPQRSTUVWXYZabcdefghijklmnopqrstuvwxyzČĆĐŠŽčćđšž -'")))=0,0,1)+IF(SUMPRODUCT(--ISERROR(FIND(MID($O79&amp;REPT("a",60),ROW($A$1:$A$60),1),"ABCDEFGHIJKLMNOPQRSTUVWXYZabcdefghijklmnopqrstuvwxyzČĆĐŠŽčćđšž -'")))=0,0,1)&gt;0,"Ime sadrži znakove koji nisu slova",IF(COUNTA($G79,$J79,$M79,$P79)&lt;&gt;COUNTA($F79,$I79,$L79,$O79),"Nedostaje pol za nekog od članova",IF(COUNTA($F79,$I79,$L79,$O79)&lt;VLOOKUP($A79,ekipe,2,FALSE),"Ekipa mora imati najmanje "&amp;VLOOKUP($A79,ekipe,2,FALSE)&amp;" člana",IF(COUNTA($F79,$I79,$L79,$O79)&gt;VLOOKUP($A79,ekipe,3,FALSE),"Ekipa može imati najviše "&amp;VLOOKUP($A79,ekipe,3,FALSE)&amp;" člana",IF($B79="","Nedostaje vrsta ekipe","prijava je kompletna")))))))))))</f>
        <v/>
      </c>
      <c r="R79">
        <f>IF($C79="","sve_ekipne","tdisc_"&amp;$C79)</f>
        <v/>
      </c>
    </row>
    <row r="80" spans="1:18">
      <c r="A80" s="5"/>
      <c r="B80" s="5"/>
      <c r="C80" s="7">
        <f>IF($E80="","",LOOKUP($E80,INDEX(grupe,0,1),INDEX(grupe,0,2)))</f>
        <v/>
      </c>
      <c r="D80" s="7">
        <f>IF($C80="","",VLOOKUP($C80,INDEX(grupe,0,2):INDEX(grupe,0,3),2,FALSE))</f>
        <v/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8">
        <f>IF(COUNTA($A80:$B80,$E80,$H80,$K80,$N80,$F80,$I80,$L80,$O80)=0,"",IF($A80="","Nedostaje disciplina",IF($E80="","Nedostaje godište prvog člana",IF($C80="","Godište nije obuhvaćeno uzrasnom tabelom",IF(COUNTIF(INDIRECT("tdisc_"&amp;$C80),$A80)=0,"Disciplina nije moguća za uzrast "&amp;$C80,IF(IF($E80="",0,IF(LOOKUP($E80,INDEX(grupe,0,1),INDEX(grupe,0,2))=$C80,0,1))+IF($H80="",0,IF(LOOKUP($H80,INDEX(grupe,0,1),INDEX(grupe,0,2))=$C80,0,1))+IF($K80="",0,IF(LOOKUP($K80,INDEX(grupe,0,1),INDEX(grupe,0,2))=$C80,0,1))+IF($N80="",0,IF(LOOKUP($N80,INDEX(grupe,0,1),INDEX(grupe,0,2))=$C80,0,1))&gt;0,"Članovi ekipe nisu iz iste uzrasne grupe",IF(COUNTA($F80,$I80,$L80,$O80)&lt;&gt;COUNTA($E80,$H80,$K80,$N80),"Za svakog člana potrebni su i godište i ime",IF(IF(SUMPRODUCT(--ISERROR(FIND(MID($F80&amp;REPT("a",60),ROW($A$1:$A$60),1),"ABCDEFGHIJKLMNOPQRSTUVWXYZabcdefghijklmnopqrstuvwxyzČĆĐŠŽčćđšž -'")))=0,0,1)+IF(SUMPRODUCT(--ISERROR(FIND(MID($I80&amp;REPT("a",60),ROW($A$1:$A$60),1),"ABCDEFGHIJKLMNOPQRSTUVWXYZabcdefghijklmnopqrstuvwxyzČĆĐŠŽčćđšž -'")))=0,0,1)+IF(SUMPRODUCT(--ISERROR(FIND(MID($L80&amp;REPT("a",60),ROW($A$1:$A$60),1),"ABCDEFGHIJKLMNOPQRSTUVWXYZabcdefghijklmnopqrstuvwxyzČĆĐŠŽčćđšž -'")))=0,0,1)+IF(SUMPRODUCT(--ISERROR(FIND(MID($O80&amp;REPT("a",60),ROW($A$1:$A$60),1),"ABCDEFGHIJKLMNOPQRSTUVWXYZabcdefghijklmnopqrstuvwxyzČĆĐŠŽčćđšž -'")))=0,0,1)&gt;0,"Ime sadrži znakove koji nisu slova",IF(COUNTA($G80,$J80,$M80,$P80)&lt;&gt;COUNTA($F80,$I80,$L80,$O80),"Nedostaje pol za nekog od članova",IF(COUNTA($F80,$I80,$L80,$O80)&lt;VLOOKUP($A80,ekipe,2,FALSE),"Ekipa mora imati najmanje "&amp;VLOOKUP($A80,ekipe,2,FALSE)&amp;" člana",IF(COUNTA($F80,$I80,$L80,$O80)&gt;VLOOKUP($A80,ekipe,3,FALSE),"Ekipa može imati najviše "&amp;VLOOKUP($A80,ekipe,3,FALSE)&amp;" člana",IF($B80="","Nedostaje vrsta ekipe","prijava je kompletna")))))))))))</f>
        <v/>
      </c>
      <c r="R80">
        <f>IF($C80="","sve_ekipne","tdisc_"&amp;$C80)</f>
        <v/>
      </c>
    </row>
    <row r="81" spans="1:18">
      <c r="A81" s="5"/>
      <c r="B81" s="5"/>
      <c r="C81" s="7">
        <f>IF($E81="","",LOOKUP($E81,INDEX(grupe,0,1),INDEX(grupe,0,2)))</f>
        <v/>
      </c>
      <c r="D81" s="7">
        <f>IF($C81="","",VLOOKUP($C81,INDEX(grupe,0,2):INDEX(grupe,0,3),2,FALSE))</f>
        <v/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8">
        <f>IF(COUNTA($A81:$B81,$E81,$H81,$K81,$N81,$F81,$I81,$L81,$O81)=0,"",IF($A81="","Nedostaje disciplina",IF($E81="","Nedostaje godište prvog člana",IF($C81="","Godište nije obuhvaćeno uzrasnom tabelom",IF(COUNTIF(INDIRECT("tdisc_"&amp;$C81),$A81)=0,"Disciplina nije moguća za uzrast "&amp;$C81,IF(IF($E81="",0,IF(LOOKUP($E81,INDEX(grupe,0,1),INDEX(grupe,0,2))=$C81,0,1))+IF($H81="",0,IF(LOOKUP($H81,INDEX(grupe,0,1),INDEX(grupe,0,2))=$C81,0,1))+IF($K81="",0,IF(LOOKUP($K81,INDEX(grupe,0,1),INDEX(grupe,0,2))=$C81,0,1))+IF($N81="",0,IF(LOOKUP($N81,INDEX(grupe,0,1),INDEX(grupe,0,2))=$C81,0,1))&gt;0,"Članovi ekipe nisu iz iste uzrasne grupe",IF(COUNTA($F81,$I81,$L81,$O81)&lt;&gt;COUNTA($E81,$H81,$K81,$N81),"Za svakog člana potrebni su i godište i ime",IF(IF(SUMPRODUCT(--ISERROR(FIND(MID($F81&amp;REPT("a",60),ROW($A$1:$A$60),1),"ABCDEFGHIJKLMNOPQRSTUVWXYZabcdefghijklmnopqrstuvwxyzČĆĐŠŽčćđšž -'")))=0,0,1)+IF(SUMPRODUCT(--ISERROR(FIND(MID($I81&amp;REPT("a",60),ROW($A$1:$A$60),1),"ABCDEFGHIJKLMNOPQRSTUVWXYZabcdefghijklmnopqrstuvwxyzČĆĐŠŽčćđšž -'")))=0,0,1)+IF(SUMPRODUCT(--ISERROR(FIND(MID($L81&amp;REPT("a",60),ROW($A$1:$A$60),1),"ABCDEFGHIJKLMNOPQRSTUVWXYZabcdefghijklmnopqrstuvwxyzČĆĐŠŽčćđšž -'")))=0,0,1)+IF(SUMPRODUCT(--ISERROR(FIND(MID($O81&amp;REPT("a",60),ROW($A$1:$A$60),1),"ABCDEFGHIJKLMNOPQRSTUVWXYZabcdefghijklmnopqrstuvwxyzČĆĐŠŽčćđšž -'")))=0,0,1)&gt;0,"Ime sadrži znakove koji nisu slova",IF(COUNTA($G81,$J81,$M81,$P81)&lt;&gt;COUNTA($F81,$I81,$L81,$O81),"Nedostaje pol za nekog od članova",IF(COUNTA($F81,$I81,$L81,$O81)&lt;VLOOKUP($A81,ekipe,2,FALSE),"Ekipa mora imati najmanje "&amp;VLOOKUP($A81,ekipe,2,FALSE)&amp;" člana",IF(COUNTA($F81,$I81,$L81,$O81)&gt;VLOOKUP($A81,ekipe,3,FALSE),"Ekipa može imati najviše "&amp;VLOOKUP($A81,ekipe,3,FALSE)&amp;" člana",IF($B81="","Nedostaje vrsta ekipe","prijava je kompletna")))))))))))</f>
        <v/>
      </c>
      <c r="R81">
        <f>IF($C81="","sve_ekipne","tdisc_"&amp;$C81)</f>
        <v/>
      </c>
    </row>
    <row r="82" spans="1:18">
      <c r="A82" s="5"/>
      <c r="B82" s="5"/>
      <c r="C82" s="7">
        <f>IF($E82="","",LOOKUP($E82,INDEX(grupe,0,1),INDEX(grupe,0,2)))</f>
        <v/>
      </c>
      <c r="D82" s="7">
        <f>IF($C82="","",VLOOKUP($C82,INDEX(grupe,0,2):INDEX(grupe,0,3),2,FALSE))</f>
        <v/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8">
        <f>IF(COUNTA($A82:$B82,$E82,$H82,$K82,$N82,$F82,$I82,$L82,$O82)=0,"",IF($A82="","Nedostaje disciplina",IF($E82="","Nedostaje godište prvog člana",IF($C82="","Godište nije obuhvaćeno uzrasnom tabelom",IF(COUNTIF(INDIRECT("tdisc_"&amp;$C82),$A82)=0,"Disciplina nije moguća za uzrast "&amp;$C82,IF(IF($E82="",0,IF(LOOKUP($E82,INDEX(grupe,0,1),INDEX(grupe,0,2))=$C82,0,1))+IF($H82="",0,IF(LOOKUP($H82,INDEX(grupe,0,1),INDEX(grupe,0,2))=$C82,0,1))+IF($K82="",0,IF(LOOKUP($K82,INDEX(grupe,0,1),INDEX(grupe,0,2))=$C82,0,1))+IF($N82="",0,IF(LOOKUP($N82,INDEX(grupe,0,1),INDEX(grupe,0,2))=$C82,0,1))&gt;0,"Članovi ekipe nisu iz iste uzrasne grupe",IF(COUNTA($F82,$I82,$L82,$O82)&lt;&gt;COUNTA($E82,$H82,$K82,$N82),"Za svakog člana potrebni su i godište i ime",IF(IF(SUMPRODUCT(--ISERROR(FIND(MID($F82&amp;REPT("a",60),ROW($A$1:$A$60),1),"ABCDEFGHIJKLMNOPQRSTUVWXYZabcdefghijklmnopqrstuvwxyzČĆĐŠŽčćđšž -'")))=0,0,1)+IF(SUMPRODUCT(--ISERROR(FIND(MID($I82&amp;REPT("a",60),ROW($A$1:$A$60),1),"ABCDEFGHIJKLMNOPQRSTUVWXYZabcdefghijklmnopqrstuvwxyzČĆĐŠŽčćđšž -'")))=0,0,1)+IF(SUMPRODUCT(--ISERROR(FIND(MID($L82&amp;REPT("a",60),ROW($A$1:$A$60),1),"ABCDEFGHIJKLMNOPQRSTUVWXYZabcdefghijklmnopqrstuvwxyzČĆĐŠŽčćđšž -'")))=0,0,1)+IF(SUMPRODUCT(--ISERROR(FIND(MID($O82&amp;REPT("a",60),ROW($A$1:$A$60),1),"ABCDEFGHIJKLMNOPQRSTUVWXYZabcdefghijklmnopqrstuvwxyzČĆĐŠŽčćđšž -'")))=0,0,1)&gt;0,"Ime sadrži znakove koji nisu slova",IF(COUNTA($G82,$J82,$M82,$P82)&lt;&gt;COUNTA($F82,$I82,$L82,$O82),"Nedostaje pol za nekog od članova",IF(COUNTA($F82,$I82,$L82,$O82)&lt;VLOOKUP($A82,ekipe,2,FALSE),"Ekipa mora imati najmanje "&amp;VLOOKUP($A82,ekipe,2,FALSE)&amp;" člana",IF(COUNTA($F82,$I82,$L82,$O82)&gt;VLOOKUP($A82,ekipe,3,FALSE),"Ekipa može imati najviše "&amp;VLOOKUP($A82,ekipe,3,FALSE)&amp;" člana",IF($B82="","Nedostaje vrsta ekipe","prijava je kompletna")))))))))))</f>
        <v/>
      </c>
      <c r="R82">
        <f>IF($C82="","sve_ekipne","tdisc_"&amp;$C82)</f>
        <v/>
      </c>
    </row>
    <row r="83" spans="1:18">
      <c r="A83" s="5"/>
      <c r="B83" s="5"/>
      <c r="C83" s="7">
        <f>IF($E83="","",LOOKUP($E83,INDEX(grupe,0,1),INDEX(grupe,0,2)))</f>
        <v/>
      </c>
      <c r="D83" s="7">
        <f>IF($C83="","",VLOOKUP($C83,INDEX(grupe,0,2):INDEX(grupe,0,3),2,FALSE))</f>
        <v/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8">
        <f>IF(COUNTA($A83:$B83,$E83,$H83,$K83,$N83,$F83,$I83,$L83,$O83)=0,"",IF($A83="","Nedostaje disciplina",IF($E83="","Nedostaje godište prvog člana",IF($C83="","Godište nije obuhvaćeno uzrasnom tabelom",IF(COUNTIF(INDIRECT("tdisc_"&amp;$C83),$A83)=0,"Disciplina nije moguća za uzrast "&amp;$C83,IF(IF($E83="",0,IF(LOOKUP($E83,INDEX(grupe,0,1),INDEX(grupe,0,2))=$C83,0,1))+IF($H83="",0,IF(LOOKUP($H83,INDEX(grupe,0,1),INDEX(grupe,0,2))=$C83,0,1))+IF($K83="",0,IF(LOOKUP($K83,INDEX(grupe,0,1),INDEX(grupe,0,2))=$C83,0,1))+IF($N83="",0,IF(LOOKUP($N83,INDEX(grupe,0,1),INDEX(grupe,0,2))=$C83,0,1))&gt;0,"Članovi ekipe nisu iz iste uzrasne grupe",IF(COUNTA($F83,$I83,$L83,$O83)&lt;&gt;COUNTA($E83,$H83,$K83,$N83),"Za svakog člana potrebni su i godište i ime",IF(IF(SUMPRODUCT(--ISERROR(FIND(MID($F83&amp;REPT("a",60),ROW($A$1:$A$60),1),"ABCDEFGHIJKLMNOPQRSTUVWXYZabcdefghijklmnopqrstuvwxyzČĆĐŠŽčćđšž -'")))=0,0,1)+IF(SUMPRODUCT(--ISERROR(FIND(MID($I83&amp;REPT("a",60),ROW($A$1:$A$60),1),"ABCDEFGHIJKLMNOPQRSTUVWXYZabcdefghijklmnopqrstuvwxyzČĆĐŠŽčćđšž -'")))=0,0,1)+IF(SUMPRODUCT(--ISERROR(FIND(MID($L83&amp;REPT("a",60),ROW($A$1:$A$60),1),"ABCDEFGHIJKLMNOPQRSTUVWXYZabcdefghijklmnopqrstuvwxyzČĆĐŠŽčćđšž -'")))=0,0,1)+IF(SUMPRODUCT(--ISERROR(FIND(MID($O83&amp;REPT("a",60),ROW($A$1:$A$60),1),"ABCDEFGHIJKLMNOPQRSTUVWXYZabcdefghijklmnopqrstuvwxyzČĆĐŠŽčćđšž -'")))=0,0,1)&gt;0,"Ime sadrži znakove koji nisu slova",IF(COUNTA($G83,$J83,$M83,$P83)&lt;&gt;COUNTA($F83,$I83,$L83,$O83),"Nedostaje pol za nekog od članova",IF(COUNTA($F83,$I83,$L83,$O83)&lt;VLOOKUP($A83,ekipe,2,FALSE),"Ekipa mora imati najmanje "&amp;VLOOKUP($A83,ekipe,2,FALSE)&amp;" člana",IF(COUNTA($F83,$I83,$L83,$O83)&gt;VLOOKUP($A83,ekipe,3,FALSE),"Ekipa može imati najviše "&amp;VLOOKUP($A83,ekipe,3,FALSE)&amp;" člana",IF($B83="","Nedostaje vrsta ekipe","prijava je kompletna")))))))))))</f>
        <v/>
      </c>
      <c r="R83">
        <f>IF($C83="","sve_ekipne","tdisc_"&amp;$C83)</f>
        <v/>
      </c>
    </row>
    <row r="84" spans="1:18">
      <c r="A84" s="5"/>
      <c r="B84" s="5"/>
      <c r="C84" s="7">
        <f>IF($E84="","",LOOKUP($E84,INDEX(grupe,0,1),INDEX(grupe,0,2)))</f>
        <v/>
      </c>
      <c r="D84" s="7">
        <f>IF($C84="","",VLOOKUP($C84,INDEX(grupe,0,2):INDEX(grupe,0,3),2,FALSE))</f>
        <v/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8">
        <f>IF(COUNTA($A84:$B84,$E84,$H84,$K84,$N84,$F84,$I84,$L84,$O84)=0,"",IF($A84="","Nedostaje disciplina",IF($E84="","Nedostaje godište prvog člana",IF($C84="","Godište nije obuhvaćeno uzrasnom tabelom",IF(COUNTIF(INDIRECT("tdisc_"&amp;$C84),$A84)=0,"Disciplina nije moguća za uzrast "&amp;$C84,IF(IF($E84="",0,IF(LOOKUP($E84,INDEX(grupe,0,1),INDEX(grupe,0,2))=$C84,0,1))+IF($H84="",0,IF(LOOKUP($H84,INDEX(grupe,0,1),INDEX(grupe,0,2))=$C84,0,1))+IF($K84="",0,IF(LOOKUP($K84,INDEX(grupe,0,1),INDEX(grupe,0,2))=$C84,0,1))+IF($N84="",0,IF(LOOKUP($N84,INDEX(grupe,0,1),INDEX(grupe,0,2))=$C84,0,1))&gt;0,"Članovi ekipe nisu iz iste uzrasne grupe",IF(COUNTA($F84,$I84,$L84,$O84)&lt;&gt;COUNTA($E84,$H84,$K84,$N84),"Za svakog člana potrebni su i godište i ime",IF(IF(SUMPRODUCT(--ISERROR(FIND(MID($F84&amp;REPT("a",60),ROW($A$1:$A$60),1),"ABCDEFGHIJKLMNOPQRSTUVWXYZabcdefghijklmnopqrstuvwxyzČĆĐŠŽčćđšž -'")))=0,0,1)+IF(SUMPRODUCT(--ISERROR(FIND(MID($I84&amp;REPT("a",60),ROW($A$1:$A$60),1),"ABCDEFGHIJKLMNOPQRSTUVWXYZabcdefghijklmnopqrstuvwxyzČĆĐŠŽčćđšž -'")))=0,0,1)+IF(SUMPRODUCT(--ISERROR(FIND(MID($L84&amp;REPT("a",60),ROW($A$1:$A$60),1),"ABCDEFGHIJKLMNOPQRSTUVWXYZabcdefghijklmnopqrstuvwxyzČĆĐŠŽčćđšž -'")))=0,0,1)+IF(SUMPRODUCT(--ISERROR(FIND(MID($O84&amp;REPT("a",60),ROW($A$1:$A$60),1),"ABCDEFGHIJKLMNOPQRSTUVWXYZabcdefghijklmnopqrstuvwxyzČĆĐŠŽčćđšž -'")))=0,0,1)&gt;0,"Ime sadrži znakove koji nisu slova",IF(COUNTA($G84,$J84,$M84,$P84)&lt;&gt;COUNTA($F84,$I84,$L84,$O84),"Nedostaje pol za nekog od članova",IF(COUNTA($F84,$I84,$L84,$O84)&lt;VLOOKUP($A84,ekipe,2,FALSE),"Ekipa mora imati najmanje "&amp;VLOOKUP($A84,ekipe,2,FALSE)&amp;" člana",IF(COUNTA($F84,$I84,$L84,$O84)&gt;VLOOKUP($A84,ekipe,3,FALSE),"Ekipa može imati najviše "&amp;VLOOKUP($A84,ekipe,3,FALSE)&amp;" člana",IF($B84="","Nedostaje vrsta ekipe","prijava je kompletna")))))))))))</f>
        <v/>
      </c>
      <c r="R84">
        <f>IF($C84="","sve_ekipne","tdisc_"&amp;$C84)</f>
        <v/>
      </c>
    </row>
    <row r="85" spans="1:18">
      <c r="A85" s="5"/>
      <c r="B85" s="5"/>
      <c r="C85" s="7">
        <f>IF($E85="","",LOOKUP($E85,INDEX(grupe,0,1),INDEX(grupe,0,2)))</f>
        <v/>
      </c>
      <c r="D85" s="7">
        <f>IF($C85="","",VLOOKUP($C85,INDEX(grupe,0,2):INDEX(grupe,0,3),2,FALSE))</f>
        <v/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8">
        <f>IF(COUNTA($A85:$B85,$E85,$H85,$K85,$N85,$F85,$I85,$L85,$O85)=0,"",IF($A85="","Nedostaje disciplina",IF($E85="","Nedostaje godište prvog člana",IF($C85="","Godište nije obuhvaćeno uzrasnom tabelom",IF(COUNTIF(INDIRECT("tdisc_"&amp;$C85),$A85)=0,"Disciplina nije moguća za uzrast "&amp;$C85,IF(IF($E85="",0,IF(LOOKUP($E85,INDEX(grupe,0,1),INDEX(grupe,0,2))=$C85,0,1))+IF($H85="",0,IF(LOOKUP($H85,INDEX(grupe,0,1),INDEX(grupe,0,2))=$C85,0,1))+IF($K85="",0,IF(LOOKUP($K85,INDEX(grupe,0,1),INDEX(grupe,0,2))=$C85,0,1))+IF($N85="",0,IF(LOOKUP($N85,INDEX(grupe,0,1),INDEX(grupe,0,2))=$C85,0,1))&gt;0,"Članovi ekipe nisu iz iste uzrasne grupe",IF(COUNTA($F85,$I85,$L85,$O85)&lt;&gt;COUNTA($E85,$H85,$K85,$N85),"Za svakog člana potrebni su i godište i ime",IF(IF(SUMPRODUCT(--ISERROR(FIND(MID($F85&amp;REPT("a",60),ROW($A$1:$A$60),1),"ABCDEFGHIJKLMNOPQRSTUVWXYZabcdefghijklmnopqrstuvwxyzČĆĐŠŽčćđšž -'")))=0,0,1)+IF(SUMPRODUCT(--ISERROR(FIND(MID($I85&amp;REPT("a",60),ROW($A$1:$A$60),1),"ABCDEFGHIJKLMNOPQRSTUVWXYZabcdefghijklmnopqrstuvwxyzČĆĐŠŽčćđšž -'")))=0,0,1)+IF(SUMPRODUCT(--ISERROR(FIND(MID($L85&amp;REPT("a",60),ROW($A$1:$A$60),1),"ABCDEFGHIJKLMNOPQRSTUVWXYZabcdefghijklmnopqrstuvwxyzČĆĐŠŽčćđšž -'")))=0,0,1)+IF(SUMPRODUCT(--ISERROR(FIND(MID($O85&amp;REPT("a",60),ROW($A$1:$A$60),1),"ABCDEFGHIJKLMNOPQRSTUVWXYZabcdefghijklmnopqrstuvwxyzČĆĐŠŽčćđšž -'")))=0,0,1)&gt;0,"Ime sadrži znakove koji nisu slova",IF(COUNTA($G85,$J85,$M85,$P85)&lt;&gt;COUNTA($F85,$I85,$L85,$O85),"Nedostaje pol za nekog od članova",IF(COUNTA($F85,$I85,$L85,$O85)&lt;VLOOKUP($A85,ekipe,2,FALSE),"Ekipa mora imati najmanje "&amp;VLOOKUP($A85,ekipe,2,FALSE)&amp;" člana",IF(COUNTA($F85,$I85,$L85,$O85)&gt;VLOOKUP($A85,ekipe,3,FALSE),"Ekipa može imati najviše "&amp;VLOOKUP($A85,ekipe,3,FALSE)&amp;" člana",IF($B85="","Nedostaje vrsta ekipe","prijava je kompletna")))))))))))</f>
        <v/>
      </c>
      <c r="R85">
        <f>IF($C85="","sve_ekipne","tdisc_"&amp;$C85)</f>
        <v/>
      </c>
    </row>
    <row r="86" spans="1:18">
      <c r="A86" s="5"/>
      <c r="B86" s="5"/>
      <c r="C86" s="7">
        <f>IF($E86="","",LOOKUP($E86,INDEX(grupe,0,1),INDEX(grupe,0,2)))</f>
        <v/>
      </c>
      <c r="D86" s="7">
        <f>IF($C86="","",VLOOKUP($C86,INDEX(grupe,0,2):INDEX(grupe,0,3),2,FALSE))</f>
        <v/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8">
        <f>IF(COUNTA($A86:$B86,$E86,$H86,$K86,$N86,$F86,$I86,$L86,$O86)=0,"",IF($A86="","Nedostaje disciplina",IF($E86="","Nedostaje godište prvog člana",IF($C86="","Godište nije obuhvaćeno uzrasnom tabelom",IF(COUNTIF(INDIRECT("tdisc_"&amp;$C86),$A86)=0,"Disciplina nije moguća za uzrast "&amp;$C86,IF(IF($E86="",0,IF(LOOKUP($E86,INDEX(grupe,0,1),INDEX(grupe,0,2))=$C86,0,1))+IF($H86="",0,IF(LOOKUP($H86,INDEX(grupe,0,1),INDEX(grupe,0,2))=$C86,0,1))+IF($K86="",0,IF(LOOKUP($K86,INDEX(grupe,0,1),INDEX(grupe,0,2))=$C86,0,1))+IF($N86="",0,IF(LOOKUP($N86,INDEX(grupe,0,1),INDEX(grupe,0,2))=$C86,0,1))&gt;0,"Članovi ekipe nisu iz iste uzrasne grupe",IF(COUNTA($F86,$I86,$L86,$O86)&lt;&gt;COUNTA($E86,$H86,$K86,$N86),"Za svakog člana potrebni su i godište i ime",IF(IF(SUMPRODUCT(--ISERROR(FIND(MID($F86&amp;REPT("a",60),ROW($A$1:$A$60),1),"ABCDEFGHIJKLMNOPQRSTUVWXYZabcdefghijklmnopqrstuvwxyzČĆĐŠŽčćđšž -'")))=0,0,1)+IF(SUMPRODUCT(--ISERROR(FIND(MID($I86&amp;REPT("a",60),ROW($A$1:$A$60),1),"ABCDEFGHIJKLMNOPQRSTUVWXYZabcdefghijklmnopqrstuvwxyzČĆĐŠŽčćđšž -'")))=0,0,1)+IF(SUMPRODUCT(--ISERROR(FIND(MID($L86&amp;REPT("a",60),ROW($A$1:$A$60),1),"ABCDEFGHIJKLMNOPQRSTUVWXYZabcdefghijklmnopqrstuvwxyzČĆĐŠŽčćđšž -'")))=0,0,1)+IF(SUMPRODUCT(--ISERROR(FIND(MID($O86&amp;REPT("a",60),ROW($A$1:$A$60),1),"ABCDEFGHIJKLMNOPQRSTUVWXYZabcdefghijklmnopqrstuvwxyzČĆĐŠŽčćđšž -'")))=0,0,1)&gt;0,"Ime sadrži znakove koji nisu slova",IF(COUNTA($G86,$J86,$M86,$P86)&lt;&gt;COUNTA($F86,$I86,$L86,$O86),"Nedostaje pol za nekog od članova",IF(COUNTA($F86,$I86,$L86,$O86)&lt;VLOOKUP($A86,ekipe,2,FALSE),"Ekipa mora imati najmanje "&amp;VLOOKUP($A86,ekipe,2,FALSE)&amp;" člana",IF(COUNTA($F86,$I86,$L86,$O86)&gt;VLOOKUP($A86,ekipe,3,FALSE),"Ekipa može imati najviše "&amp;VLOOKUP($A86,ekipe,3,FALSE)&amp;" člana",IF($B86="","Nedostaje vrsta ekipe","prijava je kompletna")))))))))))</f>
        <v/>
      </c>
      <c r="R86">
        <f>IF($C86="","sve_ekipne","tdisc_"&amp;$C86)</f>
        <v/>
      </c>
    </row>
    <row r="87" spans="1:18">
      <c r="A87" s="5"/>
      <c r="B87" s="5"/>
      <c r="C87" s="7">
        <f>IF($E87="","",LOOKUP($E87,INDEX(grupe,0,1),INDEX(grupe,0,2)))</f>
        <v/>
      </c>
      <c r="D87" s="7">
        <f>IF($C87="","",VLOOKUP($C87,INDEX(grupe,0,2):INDEX(grupe,0,3),2,FALSE))</f>
        <v/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8">
        <f>IF(COUNTA($A87:$B87,$E87,$H87,$K87,$N87,$F87,$I87,$L87,$O87)=0,"",IF($A87="","Nedostaje disciplina",IF($E87="","Nedostaje godište prvog člana",IF($C87="","Godište nije obuhvaćeno uzrasnom tabelom",IF(COUNTIF(INDIRECT("tdisc_"&amp;$C87),$A87)=0,"Disciplina nije moguća za uzrast "&amp;$C87,IF(IF($E87="",0,IF(LOOKUP($E87,INDEX(grupe,0,1),INDEX(grupe,0,2))=$C87,0,1))+IF($H87="",0,IF(LOOKUP($H87,INDEX(grupe,0,1),INDEX(grupe,0,2))=$C87,0,1))+IF($K87="",0,IF(LOOKUP($K87,INDEX(grupe,0,1),INDEX(grupe,0,2))=$C87,0,1))+IF($N87="",0,IF(LOOKUP($N87,INDEX(grupe,0,1),INDEX(grupe,0,2))=$C87,0,1))&gt;0,"Članovi ekipe nisu iz iste uzrasne grupe",IF(COUNTA($F87,$I87,$L87,$O87)&lt;&gt;COUNTA($E87,$H87,$K87,$N87),"Za svakog člana potrebni su i godište i ime",IF(IF(SUMPRODUCT(--ISERROR(FIND(MID($F87&amp;REPT("a",60),ROW($A$1:$A$60),1),"ABCDEFGHIJKLMNOPQRSTUVWXYZabcdefghijklmnopqrstuvwxyzČĆĐŠŽčćđšž -'")))=0,0,1)+IF(SUMPRODUCT(--ISERROR(FIND(MID($I87&amp;REPT("a",60),ROW($A$1:$A$60),1),"ABCDEFGHIJKLMNOPQRSTUVWXYZabcdefghijklmnopqrstuvwxyzČĆĐŠŽčćđšž -'")))=0,0,1)+IF(SUMPRODUCT(--ISERROR(FIND(MID($L87&amp;REPT("a",60),ROW($A$1:$A$60),1),"ABCDEFGHIJKLMNOPQRSTUVWXYZabcdefghijklmnopqrstuvwxyzČĆĐŠŽčćđšž -'")))=0,0,1)+IF(SUMPRODUCT(--ISERROR(FIND(MID($O87&amp;REPT("a",60),ROW($A$1:$A$60),1),"ABCDEFGHIJKLMNOPQRSTUVWXYZabcdefghijklmnopqrstuvwxyzČĆĐŠŽčćđšž -'")))=0,0,1)&gt;0,"Ime sadrži znakove koji nisu slova",IF(COUNTA($G87,$J87,$M87,$P87)&lt;&gt;COUNTA($F87,$I87,$L87,$O87),"Nedostaje pol za nekog od članova",IF(COUNTA($F87,$I87,$L87,$O87)&lt;VLOOKUP($A87,ekipe,2,FALSE),"Ekipa mora imati najmanje "&amp;VLOOKUP($A87,ekipe,2,FALSE)&amp;" člana",IF(COUNTA($F87,$I87,$L87,$O87)&gt;VLOOKUP($A87,ekipe,3,FALSE),"Ekipa može imati najviše "&amp;VLOOKUP($A87,ekipe,3,FALSE)&amp;" člana",IF($B87="","Nedostaje vrsta ekipe","prijava je kompletna")))))))))))</f>
        <v/>
      </c>
      <c r="R87">
        <f>IF($C87="","sve_ekipne","tdisc_"&amp;$C87)</f>
        <v/>
      </c>
    </row>
    <row r="88" spans="1:18">
      <c r="A88" s="5"/>
      <c r="B88" s="5"/>
      <c r="C88" s="7">
        <f>IF($E88="","",LOOKUP($E88,INDEX(grupe,0,1),INDEX(grupe,0,2)))</f>
        <v/>
      </c>
      <c r="D88" s="7">
        <f>IF($C88="","",VLOOKUP($C88,INDEX(grupe,0,2):INDEX(grupe,0,3),2,FALSE))</f>
        <v/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8">
        <f>IF(COUNTA($A88:$B88,$E88,$H88,$K88,$N88,$F88,$I88,$L88,$O88)=0,"",IF($A88="","Nedostaje disciplina",IF($E88="","Nedostaje godište prvog člana",IF($C88="","Godište nije obuhvaćeno uzrasnom tabelom",IF(COUNTIF(INDIRECT("tdisc_"&amp;$C88),$A88)=0,"Disciplina nije moguća za uzrast "&amp;$C88,IF(IF($E88="",0,IF(LOOKUP($E88,INDEX(grupe,0,1),INDEX(grupe,0,2))=$C88,0,1))+IF($H88="",0,IF(LOOKUP($H88,INDEX(grupe,0,1),INDEX(grupe,0,2))=$C88,0,1))+IF($K88="",0,IF(LOOKUP($K88,INDEX(grupe,0,1),INDEX(grupe,0,2))=$C88,0,1))+IF($N88="",0,IF(LOOKUP($N88,INDEX(grupe,0,1),INDEX(grupe,0,2))=$C88,0,1))&gt;0,"Članovi ekipe nisu iz iste uzrasne grupe",IF(COUNTA($F88,$I88,$L88,$O88)&lt;&gt;COUNTA($E88,$H88,$K88,$N88),"Za svakog člana potrebni su i godište i ime",IF(IF(SUMPRODUCT(--ISERROR(FIND(MID($F88&amp;REPT("a",60),ROW($A$1:$A$60),1),"ABCDEFGHIJKLMNOPQRSTUVWXYZabcdefghijklmnopqrstuvwxyzČĆĐŠŽčćđšž -'")))=0,0,1)+IF(SUMPRODUCT(--ISERROR(FIND(MID($I88&amp;REPT("a",60),ROW($A$1:$A$60),1),"ABCDEFGHIJKLMNOPQRSTUVWXYZabcdefghijklmnopqrstuvwxyzČĆĐŠŽčćđšž -'")))=0,0,1)+IF(SUMPRODUCT(--ISERROR(FIND(MID($L88&amp;REPT("a",60),ROW($A$1:$A$60),1),"ABCDEFGHIJKLMNOPQRSTUVWXYZabcdefghijklmnopqrstuvwxyzČĆĐŠŽčćđšž -'")))=0,0,1)+IF(SUMPRODUCT(--ISERROR(FIND(MID($O88&amp;REPT("a",60),ROW($A$1:$A$60),1),"ABCDEFGHIJKLMNOPQRSTUVWXYZabcdefghijklmnopqrstuvwxyzČĆĐŠŽčćđšž -'")))=0,0,1)&gt;0,"Ime sadrži znakove koji nisu slova",IF(COUNTA($G88,$J88,$M88,$P88)&lt;&gt;COUNTA($F88,$I88,$L88,$O88),"Nedostaje pol za nekog od članova",IF(COUNTA($F88,$I88,$L88,$O88)&lt;VLOOKUP($A88,ekipe,2,FALSE),"Ekipa mora imati najmanje "&amp;VLOOKUP($A88,ekipe,2,FALSE)&amp;" člana",IF(COUNTA($F88,$I88,$L88,$O88)&gt;VLOOKUP($A88,ekipe,3,FALSE),"Ekipa može imati najviše "&amp;VLOOKUP($A88,ekipe,3,FALSE)&amp;" člana",IF($B88="","Nedostaje vrsta ekipe","prijava je kompletna")))))))))))</f>
        <v/>
      </c>
      <c r="R88">
        <f>IF($C88="","sve_ekipne","tdisc_"&amp;$C88)</f>
        <v/>
      </c>
    </row>
    <row r="89" spans="1:18">
      <c r="A89" s="5"/>
      <c r="B89" s="5"/>
      <c r="C89" s="7">
        <f>IF($E89="","",LOOKUP($E89,INDEX(grupe,0,1),INDEX(grupe,0,2)))</f>
        <v/>
      </c>
      <c r="D89" s="7">
        <f>IF($C89="","",VLOOKUP($C89,INDEX(grupe,0,2):INDEX(grupe,0,3),2,FALSE))</f>
        <v/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8">
        <f>IF(COUNTA($A89:$B89,$E89,$H89,$K89,$N89,$F89,$I89,$L89,$O89)=0,"",IF($A89="","Nedostaje disciplina",IF($E89="","Nedostaje godište prvog člana",IF($C89="","Godište nije obuhvaćeno uzrasnom tabelom",IF(COUNTIF(INDIRECT("tdisc_"&amp;$C89),$A89)=0,"Disciplina nije moguća za uzrast "&amp;$C89,IF(IF($E89="",0,IF(LOOKUP($E89,INDEX(grupe,0,1),INDEX(grupe,0,2))=$C89,0,1))+IF($H89="",0,IF(LOOKUP($H89,INDEX(grupe,0,1),INDEX(grupe,0,2))=$C89,0,1))+IF($K89="",0,IF(LOOKUP($K89,INDEX(grupe,0,1),INDEX(grupe,0,2))=$C89,0,1))+IF($N89="",0,IF(LOOKUP($N89,INDEX(grupe,0,1),INDEX(grupe,0,2))=$C89,0,1))&gt;0,"Članovi ekipe nisu iz iste uzrasne grupe",IF(COUNTA($F89,$I89,$L89,$O89)&lt;&gt;COUNTA($E89,$H89,$K89,$N89),"Za svakog člana potrebni su i godište i ime",IF(IF(SUMPRODUCT(--ISERROR(FIND(MID($F89&amp;REPT("a",60),ROW($A$1:$A$60),1),"ABCDEFGHIJKLMNOPQRSTUVWXYZabcdefghijklmnopqrstuvwxyzČĆĐŠŽčćđšž -'")))=0,0,1)+IF(SUMPRODUCT(--ISERROR(FIND(MID($I89&amp;REPT("a",60),ROW($A$1:$A$60),1),"ABCDEFGHIJKLMNOPQRSTUVWXYZabcdefghijklmnopqrstuvwxyzČĆĐŠŽčćđšž -'")))=0,0,1)+IF(SUMPRODUCT(--ISERROR(FIND(MID($L89&amp;REPT("a",60),ROW($A$1:$A$60),1),"ABCDEFGHIJKLMNOPQRSTUVWXYZabcdefghijklmnopqrstuvwxyzČĆĐŠŽčćđšž -'")))=0,0,1)+IF(SUMPRODUCT(--ISERROR(FIND(MID($O89&amp;REPT("a",60),ROW($A$1:$A$60),1),"ABCDEFGHIJKLMNOPQRSTUVWXYZabcdefghijklmnopqrstuvwxyzČĆĐŠŽčćđšž -'")))=0,0,1)&gt;0,"Ime sadrži znakove koji nisu slova",IF(COUNTA($G89,$J89,$M89,$P89)&lt;&gt;COUNTA($F89,$I89,$L89,$O89),"Nedostaje pol za nekog od članova",IF(COUNTA($F89,$I89,$L89,$O89)&lt;VLOOKUP($A89,ekipe,2,FALSE),"Ekipa mora imati najmanje "&amp;VLOOKUP($A89,ekipe,2,FALSE)&amp;" člana",IF(COUNTA($F89,$I89,$L89,$O89)&gt;VLOOKUP($A89,ekipe,3,FALSE),"Ekipa može imati najviše "&amp;VLOOKUP($A89,ekipe,3,FALSE)&amp;" člana",IF($B89="","Nedostaje vrsta ekipe","prijava je kompletna")))))))))))</f>
        <v/>
      </c>
      <c r="R89">
        <f>IF($C89="","sve_ekipne","tdisc_"&amp;$C89)</f>
        <v/>
      </c>
    </row>
    <row r="90" spans="1:18">
      <c r="A90" s="5"/>
      <c r="B90" s="5"/>
      <c r="C90" s="7">
        <f>IF($E90="","",LOOKUP($E90,INDEX(grupe,0,1),INDEX(grupe,0,2)))</f>
        <v/>
      </c>
      <c r="D90" s="7">
        <f>IF($C90="","",VLOOKUP($C90,INDEX(grupe,0,2):INDEX(grupe,0,3),2,FALSE))</f>
        <v/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8">
        <f>IF(COUNTA($A90:$B90,$E90,$H90,$K90,$N90,$F90,$I90,$L90,$O90)=0,"",IF($A90="","Nedostaje disciplina",IF($E90="","Nedostaje godište prvog člana",IF($C90="","Godište nije obuhvaćeno uzrasnom tabelom",IF(COUNTIF(INDIRECT("tdisc_"&amp;$C90),$A90)=0,"Disciplina nije moguća za uzrast "&amp;$C90,IF(IF($E90="",0,IF(LOOKUP($E90,INDEX(grupe,0,1),INDEX(grupe,0,2))=$C90,0,1))+IF($H90="",0,IF(LOOKUP($H90,INDEX(grupe,0,1),INDEX(grupe,0,2))=$C90,0,1))+IF($K90="",0,IF(LOOKUP($K90,INDEX(grupe,0,1),INDEX(grupe,0,2))=$C90,0,1))+IF($N90="",0,IF(LOOKUP($N90,INDEX(grupe,0,1),INDEX(grupe,0,2))=$C90,0,1))&gt;0,"Članovi ekipe nisu iz iste uzrasne grupe",IF(COUNTA($F90,$I90,$L90,$O90)&lt;&gt;COUNTA($E90,$H90,$K90,$N90),"Za svakog člana potrebni su i godište i ime",IF(IF(SUMPRODUCT(--ISERROR(FIND(MID($F90&amp;REPT("a",60),ROW($A$1:$A$60),1),"ABCDEFGHIJKLMNOPQRSTUVWXYZabcdefghijklmnopqrstuvwxyzČĆĐŠŽčćđšž -'")))=0,0,1)+IF(SUMPRODUCT(--ISERROR(FIND(MID($I90&amp;REPT("a",60),ROW($A$1:$A$60),1),"ABCDEFGHIJKLMNOPQRSTUVWXYZabcdefghijklmnopqrstuvwxyzČĆĐŠŽčćđšž -'")))=0,0,1)+IF(SUMPRODUCT(--ISERROR(FIND(MID($L90&amp;REPT("a",60),ROW($A$1:$A$60),1),"ABCDEFGHIJKLMNOPQRSTUVWXYZabcdefghijklmnopqrstuvwxyzČĆĐŠŽčćđšž -'")))=0,0,1)+IF(SUMPRODUCT(--ISERROR(FIND(MID($O90&amp;REPT("a",60),ROW($A$1:$A$60),1),"ABCDEFGHIJKLMNOPQRSTUVWXYZabcdefghijklmnopqrstuvwxyzČĆĐŠŽčćđšž -'")))=0,0,1)&gt;0,"Ime sadrži znakove koji nisu slova",IF(COUNTA($G90,$J90,$M90,$P90)&lt;&gt;COUNTA($F90,$I90,$L90,$O90),"Nedostaje pol za nekog od članova",IF(COUNTA($F90,$I90,$L90,$O90)&lt;VLOOKUP($A90,ekipe,2,FALSE),"Ekipa mora imati najmanje "&amp;VLOOKUP($A90,ekipe,2,FALSE)&amp;" člana",IF(COUNTA($F90,$I90,$L90,$O90)&gt;VLOOKUP($A90,ekipe,3,FALSE),"Ekipa može imati najviše "&amp;VLOOKUP($A90,ekipe,3,FALSE)&amp;" člana",IF($B90="","Nedostaje vrsta ekipe","prijava je kompletna")))))))))))</f>
        <v/>
      </c>
      <c r="R90">
        <f>IF($C90="","sve_ekipne","tdisc_"&amp;$C90)</f>
        <v/>
      </c>
    </row>
    <row r="91" spans="1:18">
      <c r="A91" s="5"/>
      <c r="B91" s="5"/>
      <c r="C91" s="7">
        <f>IF($E91="","",LOOKUP($E91,INDEX(grupe,0,1),INDEX(grupe,0,2)))</f>
        <v/>
      </c>
      <c r="D91" s="7">
        <f>IF($C91="","",VLOOKUP($C91,INDEX(grupe,0,2):INDEX(grupe,0,3),2,FALSE))</f>
        <v/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8">
        <f>IF(COUNTA($A91:$B91,$E91,$H91,$K91,$N91,$F91,$I91,$L91,$O91)=0,"",IF($A91="","Nedostaje disciplina",IF($E91="","Nedostaje godište prvog člana",IF($C91="","Godište nije obuhvaćeno uzrasnom tabelom",IF(COUNTIF(INDIRECT("tdisc_"&amp;$C91),$A91)=0,"Disciplina nije moguća za uzrast "&amp;$C91,IF(IF($E91="",0,IF(LOOKUP($E91,INDEX(grupe,0,1),INDEX(grupe,0,2))=$C91,0,1))+IF($H91="",0,IF(LOOKUP($H91,INDEX(grupe,0,1),INDEX(grupe,0,2))=$C91,0,1))+IF($K91="",0,IF(LOOKUP($K91,INDEX(grupe,0,1),INDEX(grupe,0,2))=$C91,0,1))+IF($N91="",0,IF(LOOKUP($N91,INDEX(grupe,0,1),INDEX(grupe,0,2))=$C91,0,1))&gt;0,"Članovi ekipe nisu iz iste uzrasne grupe",IF(COUNTA($F91,$I91,$L91,$O91)&lt;&gt;COUNTA($E91,$H91,$K91,$N91),"Za svakog člana potrebni su i godište i ime",IF(IF(SUMPRODUCT(--ISERROR(FIND(MID($F91&amp;REPT("a",60),ROW($A$1:$A$60),1),"ABCDEFGHIJKLMNOPQRSTUVWXYZabcdefghijklmnopqrstuvwxyzČĆĐŠŽčćđšž -'")))=0,0,1)+IF(SUMPRODUCT(--ISERROR(FIND(MID($I91&amp;REPT("a",60),ROW($A$1:$A$60),1),"ABCDEFGHIJKLMNOPQRSTUVWXYZabcdefghijklmnopqrstuvwxyzČĆĐŠŽčćđšž -'")))=0,0,1)+IF(SUMPRODUCT(--ISERROR(FIND(MID($L91&amp;REPT("a",60),ROW($A$1:$A$60),1),"ABCDEFGHIJKLMNOPQRSTUVWXYZabcdefghijklmnopqrstuvwxyzČĆĐŠŽčćđšž -'")))=0,0,1)+IF(SUMPRODUCT(--ISERROR(FIND(MID($O91&amp;REPT("a",60),ROW($A$1:$A$60),1),"ABCDEFGHIJKLMNOPQRSTUVWXYZabcdefghijklmnopqrstuvwxyzČĆĐŠŽčćđšž -'")))=0,0,1)&gt;0,"Ime sadrži znakove koji nisu slova",IF(COUNTA($G91,$J91,$M91,$P91)&lt;&gt;COUNTA($F91,$I91,$L91,$O91),"Nedostaje pol za nekog od članova",IF(COUNTA($F91,$I91,$L91,$O91)&lt;VLOOKUP($A91,ekipe,2,FALSE),"Ekipa mora imati najmanje "&amp;VLOOKUP($A91,ekipe,2,FALSE)&amp;" člana",IF(COUNTA($F91,$I91,$L91,$O91)&gt;VLOOKUP($A91,ekipe,3,FALSE),"Ekipa može imati najviše "&amp;VLOOKUP($A91,ekipe,3,FALSE)&amp;" člana",IF($B91="","Nedostaje vrsta ekipe","prijava je kompletna")))))))))))</f>
        <v/>
      </c>
      <c r="R91">
        <f>IF($C91="","sve_ekipne","tdisc_"&amp;$C91)</f>
        <v/>
      </c>
    </row>
    <row r="92" spans="1:18">
      <c r="A92" s="5"/>
      <c r="B92" s="5"/>
      <c r="C92" s="7">
        <f>IF($E92="","",LOOKUP($E92,INDEX(grupe,0,1),INDEX(grupe,0,2)))</f>
        <v/>
      </c>
      <c r="D92" s="7">
        <f>IF($C92="","",VLOOKUP($C92,INDEX(grupe,0,2):INDEX(grupe,0,3),2,FALSE))</f>
        <v/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8">
        <f>IF(COUNTA($A92:$B92,$E92,$H92,$K92,$N92,$F92,$I92,$L92,$O92)=0,"",IF($A92="","Nedostaje disciplina",IF($E92="","Nedostaje godište prvog člana",IF($C92="","Godište nije obuhvaćeno uzrasnom tabelom",IF(COUNTIF(INDIRECT("tdisc_"&amp;$C92),$A92)=0,"Disciplina nije moguća za uzrast "&amp;$C92,IF(IF($E92="",0,IF(LOOKUP($E92,INDEX(grupe,0,1),INDEX(grupe,0,2))=$C92,0,1))+IF($H92="",0,IF(LOOKUP($H92,INDEX(grupe,0,1),INDEX(grupe,0,2))=$C92,0,1))+IF($K92="",0,IF(LOOKUP($K92,INDEX(grupe,0,1),INDEX(grupe,0,2))=$C92,0,1))+IF($N92="",0,IF(LOOKUP($N92,INDEX(grupe,0,1),INDEX(grupe,0,2))=$C92,0,1))&gt;0,"Članovi ekipe nisu iz iste uzrasne grupe",IF(COUNTA($F92,$I92,$L92,$O92)&lt;&gt;COUNTA($E92,$H92,$K92,$N92),"Za svakog člana potrebni su i godište i ime",IF(IF(SUMPRODUCT(--ISERROR(FIND(MID($F92&amp;REPT("a",60),ROW($A$1:$A$60),1),"ABCDEFGHIJKLMNOPQRSTUVWXYZabcdefghijklmnopqrstuvwxyzČĆĐŠŽčćđšž -'")))=0,0,1)+IF(SUMPRODUCT(--ISERROR(FIND(MID($I92&amp;REPT("a",60),ROW($A$1:$A$60),1),"ABCDEFGHIJKLMNOPQRSTUVWXYZabcdefghijklmnopqrstuvwxyzČĆĐŠŽčćđšž -'")))=0,0,1)+IF(SUMPRODUCT(--ISERROR(FIND(MID($L92&amp;REPT("a",60),ROW($A$1:$A$60),1),"ABCDEFGHIJKLMNOPQRSTUVWXYZabcdefghijklmnopqrstuvwxyzČĆĐŠŽčćđšž -'")))=0,0,1)+IF(SUMPRODUCT(--ISERROR(FIND(MID($O92&amp;REPT("a",60),ROW($A$1:$A$60),1),"ABCDEFGHIJKLMNOPQRSTUVWXYZabcdefghijklmnopqrstuvwxyzČĆĐŠŽčćđšž -'")))=0,0,1)&gt;0,"Ime sadrži znakove koji nisu slova",IF(COUNTA($G92,$J92,$M92,$P92)&lt;&gt;COUNTA($F92,$I92,$L92,$O92),"Nedostaje pol za nekog od članova",IF(COUNTA($F92,$I92,$L92,$O92)&lt;VLOOKUP($A92,ekipe,2,FALSE),"Ekipa mora imati najmanje "&amp;VLOOKUP($A92,ekipe,2,FALSE)&amp;" člana",IF(COUNTA($F92,$I92,$L92,$O92)&gt;VLOOKUP($A92,ekipe,3,FALSE),"Ekipa može imati najviše "&amp;VLOOKUP($A92,ekipe,3,FALSE)&amp;" člana",IF($B92="","Nedostaje vrsta ekipe","prijava je kompletna")))))))))))</f>
        <v/>
      </c>
      <c r="R92">
        <f>IF($C92="","sve_ekipne","tdisc_"&amp;$C92)</f>
        <v/>
      </c>
    </row>
    <row r="93" spans="1:18">
      <c r="A93" s="5"/>
      <c r="B93" s="5"/>
      <c r="C93" s="7">
        <f>IF($E93="","",LOOKUP($E93,INDEX(grupe,0,1),INDEX(grupe,0,2)))</f>
        <v/>
      </c>
      <c r="D93" s="7">
        <f>IF($C93="","",VLOOKUP($C93,INDEX(grupe,0,2):INDEX(grupe,0,3),2,FALSE))</f>
        <v/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8">
        <f>IF(COUNTA($A93:$B93,$E93,$H93,$K93,$N93,$F93,$I93,$L93,$O93)=0,"",IF($A93="","Nedostaje disciplina",IF($E93="","Nedostaje godište prvog člana",IF($C93="","Godište nije obuhvaćeno uzrasnom tabelom",IF(COUNTIF(INDIRECT("tdisc_"&amp;$C93),$A93)=0,"Disciplina nije moguća za uzrast "&amp;$C93,IF(IF($E93="",0,IF(LOOKUP($E93,INDEX(grupe,0,1),INDEX(grupe,0,2))=$C93,0,1))+IF($H93="",0,IF(LOOKUP($H93,INDEX(grupe,0,1),INDEX(grupe,0,2))=$C93,0,1))+IF($K93="",0,IF(LOOKUP($K93,INDEX(grupe,0,1),INDEX(grupe,0,2))=$C93,0,1))+IF($N93="",0,IF(LOOKUP($N93,INDEX(grupe,0,1),INDEX(grupe,0,2))=$C93,0,1))&gt;0,"Članovi ekipe nisu iz iste uzrasne grupe",IF(COUNTA($F93,$I93,$L93,$O93)&lt;&gt;COUNTA($E93,$H93,$K93,$N93),"Za svakog člana potrebni su i godište i ime",IF(IF(SUMPRODUCT(--ISERROR(FIND(MID($F93&amp;REPT("a",60),ROW($A$1:$A$60),1),"ABCDEFGHIJKLMNOPQRSTUVWXYZabcdefghijklmnopqrstuvwxyzČĆĐŠŽčćđšž -'")))=0,0,1)+IF(SUMPRODUCT(--ISERROR(FIND(MID($I93&amp;REPT("a",60),ROW($A$1:$A$60),1),"ABCDEFGHIJKLMNOPQRSTUVWXYZabcdefghijklmnopqrstuvwxyzČĆĐŠŽčćđšž -'")))=0,0,1)+IF(SUMPRODUCT(--ISERROR(FIND(MID($L93&amp;REPT("a",60),ROW($A$1:$A$60),1),"ABCDEFGHIJKLMNOPQRSTUVWXYZabcdefghijklmnopqrstuvwxyzČĆĐŠŽčćđšž -'")))=0,0,1)+IF(SUMPRODUCT(--ISERROR(FIND(MID($O93&amp;REPT("a",60),ROW($A$1:$A$60),1),"ABCDEFGHIJKLMNOPQRSTUVWXYZabcdefghijklmnopqrstuvwxyzČĆĐŠŽčćđšž -'")))=0,0,1)&gt;0,"Ime sadrži znakove koji nisu slova",IF(COUNTA($G93,$J93,$M93,$P93)&lt;&gt;COUNTA($F93,$I93,$L93,$O93),"Nedostaje pol za nekog od članova",IF(COUNTA($F93,$I93,$L93,$O93)&lt;VLOOKUP($A93,ekipe,2,FALSE),"Ekipa mora imati najmanje "&amp;VLOOKUP($A93,ekipe,2,FALSE)&amp;" člana",IF(COUNTA($F93,$I93,$L93,$O93)&gt;VLOOKUP($A93,ekipe,3,FALSE),"Ekipa može imati najviše "&amp;VLOOKUP($A93,ekipe,3,FALSE)&amp;" člana",IF($B93="","Nedostaje vrsta ekipe","prijava je kompletna")))))))))))</f>
        <v/>
      </c>
      <c r="R93">
        <f>IF($C93="","sve_ekipne","tdisc_"&amp;$C93)</f>
        <v/>
      </c>
    </row>
    <row r="94" spans="1:18">
      <c r="A94" s="5"/>
      <c r="B94" s="5"/>
      <c r="C94" s="7">
        <f>IF($E94="","",LOOKUP($E94,INDEX(grupe,0,1),INDEX(grupe,0,2)))</f>
        <v/>
      </c>
      <c r="D94" s="7">
        <f>IF($C94="","",VLOOKUP($C94,INDEX(grupe,0,2):INDEX(grupe,0,3),2,FALSE))</f>
        <v/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8">
        <f>IF(COUNTA($A94:$B94,$E94,$H94,$K94,$N94,$F94,$I94,$L94,$O94)=0,"",IF($A94="","Nedostaje disciplina",IF($E94="","Nedostaje godište prvog člana",IF($C94="","Godište nije obuhvaćeno uzrasnom tabelom",IF(COUNTIF(INDIRECT("tdisc_"&amp;$C94),$A94)=0,"Disciplina nije moguća za uzrast "&amp;$C94,IF(IF($E94="",0,IF(LOOKUP($E94,INDEX(grupe,0,1),INDEX(grupe,0,2))=$C94,0,1))+IF($H94="",0,IF(LOOKUP($H94,INDEX(grupe,0,1),INDEX(grupe,0,2))=$C94,0,1))+IF($K94="",0,IF(LOOKUP($K94,INDEX(grupe,0,1),INDEX(grupe,0,2))=$C94,0,1))+IF($N94="",0,IF(LOOKUP($N94,INDEX(grupe,0,1),INDEX(grupe,0,2))=$C94,0,1))&gt;0,"Članovi ekipe nisu iz iste uzrasne grupe",IF(COUNTA($F94,$I94,$L94,$O94)&lt;&gt;COUNTA($E94,$H94,$K94,$N94),"Za svakog člana potrebni su i godište i ime",IF(IF(SUMPRODUCT(--ISERROR(FIND(MID($F94&amp;REPT("a",60),ROW($A$1:$A$60),1),"ABCDEFGHIJKLMNOPQRSTUVWXYZabcdefghijklmnopqrstuvwxyzČĆĐŠŽčćđšž -'")))=0,0,1)+IF(SUMPRODUCT(--ISERROR(FIND(MID($I94&amp;REPT("a",60),ROW($A$1:$A$60),1),"ABCDEFGHIJKLMNOPQRSTUVWXYZabcdefghijklmnopqrstuvwxyzČĆĐŠŽčćđšž -'")))=0,0,1)+IF(SUMPRODUCT(--ISERROR(FIND(MID($L94&amp;REPT("a",60),ROW($A$1:$A$60),1),"ABCDEFGHIJKLMNOPQRSTUVWXYZabcdefghijklmnopqrstuvwxyzČĆĐŠŽčćđšž -'")))=0,0,1)+IF(SUMPRODUCT(--ISERROR(FIND(MID($O94&amp;REPT("a",60),ROW($A$1:$A$60),1),"ABCDEFGHIJKLMNOPQRSTUVWXYZabcdefghijklmnopqrstuvwxyzČĆĐŠŽčćđšž -'")))=0,0,1)&gt;0,"Ime sadrži znakove koji nisu slova",IF(COUNTA($G94,$J94,$M94,$P94)&lt;&gt;COUNTA($F94,$I94,$L94,$O94),"Nedostaje pol za nekog od članova",IF(COUNTA($F94,$I94,$L94,$O94)&lt;VLOOKUP($A94,ekipe,2,FALSE),"Ekipa mora imati najmanje "&amp;VLOOKUP($A94,ekipe,2,FALSE)&amp;" člana",IF(COUNTA($F94,$I94,$L94,$O94)&gt;VLOOKUP($A94,ekipe,3,FALSE),"Ekipa može imati najviše "&amp;VLOOKUP($A94,ekipe,3,FALSE)&amp;" člana",IF($B94="","Nedostaje vrsta ekipe","prijava je kompletna")))))))))))</f>
        <v/>
      </c>
      <c r="R94">
        <f>IF($C94="","sve_ekipne","tdisc_"&amp;$C94)</f>
        <v/>
      </c>
    </row>
    <row r="95" spans="1:18">
      <c r="A95" s="5"/>
      <c r="B95" s="5"/>
      <c r="C95" s="7">
        <f>IF($E95="","",LOOKUP($E95,INDEX(grupe,0,1),INDEX(grupe,0,2)))</f>
        <v/>
      </c>
      <c r="D95" s="7">
        <f>IF($C95="","",VLOOKUP($C95,INDEX(grupe,0,2):INDEX(grupe,0,3),2,FALSE))</f>
        <v/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8">
        <f>IF(COUNTA($A95:$B95,$E95,$H95,$K95,$N95,$F95,$I95,$L95,$O95)=0,"",IF($A95="","Nedostaje disciplina",IF($E95="","Nedostaje godište prvog člana",IF($C95="","Godište nije obuhvaćeno uzrasnom tabelom",IF(COUNTIF(INDIRECT("tdisc_"&amp;$C95),$A95)=0,"Disciplina nije moguća za uzrast "&amp;$C95,IF(IF($E95="",0,IF(LOOKUP($E95,INDEX(grupe,0,1),INDEX(grupe,0,2))=$C95,0,1))+IF($H95="",0,IF(LOOKUP($H95,INDEX(grupe,0,1),INDEX(grupe,0,2))=$C95,0,1))+IF($K95="",0,IF(LOOKUP($K95,INDEX(grupe,0,1),INDEX(grupe,0,2))=$C95,0,1))+IF($N95="",0,IF(LOOKUP($N95,INDEX(grupe,0,1),INDEX(grupe,0,2))=$C95,0,1))&gt;0,"Članovi ekipe nisu iz iste uzrasne grupe",IF(COUNTA($F95,$I95,$L95,$O95)&lt;&gt;COUNTA($E95,$H95,$K95,$N95),"Za svakog člana potrebni su i godište i ime",IF(IF(SUMPRODUCT(--ISERROR(FIND(MID($F95&amp;REPT("a",60),ROW($A$1:$A$60),1),"ABCDEFGHIJKLMNOPQRSTUVWXYZabcdefghijklmnopqrstuvwxyzČĆĐŠŽčćđšž -'")))=0,0,1)+IF(SUMPRODUCT(--ISERROR(FIND(MID($I95&amp;REPT("a",60),ROW($A$1:$A$60),1),"ABCDEFGHIJKLMNOPQRSTUVWXYZabcdefghijklmnopqrstuvwxyzČĆĐŠŽčćđšž -'")))=0,0,1)+IF(SUMPRODUCT(--ISERROR(FIND(MID($L95&amp;REPT("a",60),ROW($A$1:$A$60),1),"ABCDEFGHIJKLMNOPQRSTUVWXYZabcdefghijklmnopqrstuvwxyzČĆĐŠŽčćđšž -'")))=0,0,1)+IF(SUMPRODUCT(--ISERROR(FIND(MID($O95&amp;REPT("a",60),ROW($A$1:$A$60),1),"ABCDEFGHIJKLMNOPQRSTUVWXYZabcdefghijklmnopqrstuvwxyzČĆĐŠŽčćđšž -'")))=0,0,1)&gt;0,"Ime sadrži znakove koji nisu slova",IF(COUNTA($G95,$J95,$M95,$P95)&lt;&gt;COUNTA($F95,$I95,$L95,$O95),"Nedostaje pol za nekog od članova",IF(COUNTA($F95,$I95,$L95,$O95)&lt;VLOOKUP($A95,ekipe,2,FALSE),"Ekipa mora imati najmanje "&amp;VLOOKUP($A95,ekipe,2,FALSE)&amp;" člana",IF(COUNTA($F95,$I95,$L95,$O95)&gt;VLOOKUP($A95,ekipe,3,FALSE),"Ekipa može imati najviše "&amp;VLOOKUP($A95,ekipe,3,FALSE)&amp;" člana",IF($B95="","Nedostaje vrsta ekipe","prijava je kompletna")))))))))))</f>
        <v/>
      </c>
      <c r="R95">
        <f>IF($C95="","sve_ekipne","tdisc_"&amp;$C95)</f>
        <v/>
      </c>
    </row>
    <row r="96" spans="1:18">
      <c r="A96" s="5"/>
      <c r="B96" s="5"/>
      <c r="C96" s="7">
        <f>IF($E96="","",LOOKUP($E96,INDEX(grupe,0,1),INDEX(grupe,0,2)))</f>
        <v/>
      </c>
      <c r="D96" s="7">
        <f>IF($C96="","",VLOOKUP($C96,INDEX(grupe,0,2):INDEX(grupe,0,3),2,FALSE))</f>
        <v/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8">
        <f>IF(COUNTA($A96:$B96,$E96,$H96,$K96,$N96,$F96,$I96,$L96,$O96)=0,"",IF($A96="","Nedostaje disciplina",IF($E96="","Nedostaje godište prvog člana",IF($C96="","Godište nije obuhvaćeno uzrasnom tabelom",IF(COUNTIF(INDIRECT("tdisc_"&amp;$C96),$A96)=0,"Disciplina nije moguća za uzrast "&amp;$C96,IF(IF($E96="",0,IF(LOOKUP($E96,INDEX(grupe,0,1),INDEX(grupe,0,2))=$C96,0,1))+IF($H96="",0,IF(LOOKUP($H96,INDEX(grupe,0,1),INDEX(grupe,0,2))=$C96,0,1))+IF($K96="",0,IF(LOOKUP($K96,INDEX(grupe,0,1),INDEX(grupe,0,2))=$C96,0,1))+IF($N96="",0,IF(LOOKUP($N96,INDEX(grupe,0,1),INDEX(grupe,0,2))=$C96,0,1))&gt;0,"Članovi ekipe nisu iz iste uzrasne grupe",IF(COUNTA($F96,$I96,$L96,$O96)&lt;&gt;COUNTA($E96,$H96,$K96,$N96),"Za svakog člana potrebni su i godište i ime",IF(IF(SUMPRODUCT(--ISERROR(FIND(MID($F96&amp;REPT("a",60),ROW($A$1:$A$60),1),"ABCDEFGHIJKLMNOPQRSTUVWXYZabcdefghijklmnopqrstuvwxyzČĆĐŠŽčćđšž -'")))=0,0,1)+IF(SUMPRODUCT(--ISERROR(FIND(MID($I96&amp;REPT("a",60),ROW($A$1:$A$60),1),"ABCDEFGHIJKLMNOPQRSTUVWXYZabcdefghijklmnopqrstuvwxyzČĆĐŠŽčćđšž -'")))=0,0,1)+IF(SUMPRODUCT(--ISERROR(FIND(MID($L96&amp;REPT("a",60),ROW($A$1:$A$60),1),"ABCDEFGHIJKLMNOPQRSTUVWXYZabcdefghijklmnopqrstuvwxyzČĆĐŠŽčćđšž -'")))=0,0,1)+IF(SUMPRODUCT(--ISERROR(FIND(MID($O96&amp;REPT("a",60),ROW($A$1:$A$60),1),"ABCDEFGHIJKLMNOPQRSTUVWXYZabcdefghijklmnopqrstuvwxyzČĆĐŠŽčćđšž -'")))=0,0,1)&gt;0,"Ime sadrži znakove koji nisu slova",IF(COUNTA($G96,$J96,$M96,$P96)&lt;&gt;COUNTA($F96,$I96,$L96,$O96),"Nedostaje pol za nekog od članova",IF(COUNTA($F96,$I96,$L96,$O96)&lt;VLOOKUP($A96,ekipe,2,FALSE),"Ekipa mora imati najmanje "&amp;VLOOKUP($A96,ekipe,2,FALSE)&amp;" člana",IF(COUNTA($F96,$I96,$L96,$O96)&gt;VLOOKUP($A96,ekipe,3,FALSE),"Ekipa može imati najviše "&amp;VLOOKUP($A96,ekipe,3,FALSE)&amp;" člana",IF($B96="","Nedostaje vrsta ekipe","prijava je kompletna")))))))))))</f>
        <v/>
      </c>
      <c r="R96">
        <f>IF($C96="","sve_ekipne","tdisc_"&amp;$C96)</f>
        <v/>
      </c>
    </row>
    <row r="97" spans="1:18">
      <c r="A97" s="5"/>
      <c r="B97" s="5"/>
      <c r="C97" s="7">
        <f>IF($E97="","",LOOKUP($E97,INDEX(grupe,0,1),INDEX(grupe,0,2)))</f>
        <v/>
      </c>
      <c r="D97" s="7">
        <f>IF($C97="","",VLOOKUP($C97,INDEX(grupe,0,2):INDEX(grupe,0,3),2,FALSE))</f>
        <v/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8">
        <f>IF(COUNTA($A97:$B97,$E97,$H97,$K97,$N97,$F97,$I97,$L97,$O97)=0,"",IF($A97="","Nedostaje disciplina",IF($E97="","Nedostaje godište prvog člana",IF($C97="","Godište nije obuhvaćeno uzrasnom tabelom",IF(COUNTIF(INDIRECT("tdisc_"&amp;$C97),$A97)=0,"Disciplina nije moguća za uzrast "&amp;$C97,IF(IF($E97="",0,IF(LOOKUP($E97,INDEX(grupe,0,1),INDEX(grupe,0,2))=$C97,0,1))+IF($H97="",0,IF(LOOKUP($H97,INDEX(grupe,0,1),INDEX(grupe,0,2))=$C97,0,1))+IF($K97="",0,IF(LOOKUP($K97,INDEX(grupe,0,1),INDEX(grupe,0,2))=$C97,0,1))+IF($N97="",0,IF(LOOKUP($N97,INDEX(grupe,0,1),INDEX(grupe,0,2))=$C97,0,1))&gt;0,"Članovi ekipe nisu iz iste uzrasne grupe",IF(COUNTA($F97,$I97,$L97,$O97)&lt;&gt;COUNTA($E97,$H97,$K97,$N97),"Za svakog člana potrebni su i godište i ime",IF(IF(SUMPRODUCT(--ISERROR(FIND(MID($F97&amp;REPT("a",60),ROW($A$1:$A$60),1),"ABCDEFGHIJKLMNOPQRSTUVWXYZabcdefghijklmnopqrstuvwxyzČĆĐŠŽčćđšž -'")))=0,0,1)+IF(SUMPRODUCT(--ISERROR(FIND(MID($I97&amp;REPT("a",60),ROW($A$1:$A$60),1),"ABCDEFGHIJKLMNOPQRSTUVWXYZabcdefghijklmnopqrstuvwxyzČĆĐŠŽčćđšž -'")))=0,0,1)+IF(SUMPRODUCT(--ISERROR(FIND(MID($L97&amp;REPT("a",60),ROW($A$1:$A$60),1),"ABCDEFGHIJKLMNOPQRSTUVWXYZabcdefghijklmnopqrstuvwxyzČĆĐŠŽčćđšž -'")))=0,0,1)+IF(SUMPRODUCT(--ISERROR(FIND(MID($O97&amp;REPT("a",60),ROW($A$1:$A$60),1),"ABCDEFGHIJKLMNOPQRSTUVWXYZabcdefghijklmnopqrstuvwxyzČĆĐŠŽčćđšž -'")))=0,0,1)&gt;0,"Ime sadrži znakove koji nisu slova",IF(COUNTA($G97,$J97,$M97,$P97)&lt;&gt;COUNTA($F97,$I97,$L97,$O97),"Nedostaje pol za nekog od članova",IF(COUNTA($F97,$I97,$L97,$O97)&lt;VLOOKUP($A97,ekipe,2,FALSE),"Ekipa mora imati najmanje "&amp;VLOOKUP($A97,ekipe,2,FALSE)&amp;" člana",IF(COUNTA($F97,$I97,$L97,$O97)&gt;VLOOKUP($A97,ekipe,3,FALSE),"Ekipa može imati najviše "&amp;VLOOKUP($A97,ekipe,3,FALSE)&amp;" člana",IF($B97="","Nedostaje vrsta ekipe","prijava je kompletna")))))))))))</f>
        <v/>
      </c>
      <c r="R97">
        <f>IF($C97="","sve_ekipne","tdisc_"&amp;$C97)</f>
        <v/>
      </c>
    </row>
    <row r="98" spans="1:18">
      <c r="A98" s="5"/>
      <c r="B98" s="5"/>
      <c r="C98" s="7">
        <f>IF($E98="","",LOOKUP($E98,INDEX(grupe,0,1),INDEX(grupe,0,2)))</f>
        <v/>
      </c>
      <c r="D98" s="7">
        <f>IF($C98="","",VLOOKUP($C98,INDEX(grupe,0,2):INDEX(grupe,0,3),2,FALSE))</f>
        <v/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8">
        <f>IF(COUNTA($A98:$B98,$E98,$H98,$K98,$N98,$F98,$I98,$L98,$O98)=0,"",IF($A98="","Nedostaje disciplina",IF($E98="","Nedostaje godište prvog člana",IF($C98="","Godište nije obuhvaćeno uzrasnom tabelom",IF(COUNTIF(INDIRECT("tdisc_"&amp;$C98),$A98)=0,"Disciplina nije moguća za uzrast "&amp;$C98,IF(IF($E98="",0,IF(LOOKUP($E98,INDEX(grupe,0,1),INDEX(grupe,0,2))=$C98,0,1))+IF($H98="",0,IF(LOOKUP($H98,INDEX(grupe,0,1),INDEX(grupe,0,2))=$C98,0,1))+IF($K98="",0,IF(LOOKUP($K98,INDEX(grupe,0,1),INDEX(grupe,0,2))=$C98,0,1))+IF($N98="",0,IF(LOOKUP($N98,INDEX(grupe,0,1),INDEX(grupe,0,2))=$C98,0,1))&gt;0,"Članovi ekipe nisu iz iste uzrasne grupe",IF(COUNTA($F98,$I98,$L98,$O98)&lt;&gt;COUNTA($E98,$H98,$K98,$N98),"Za svakog člana potrebni su i godište i ime",IF(IF(SUMPRODUCT(--ISERROR(FIND(MID($F98&amp;REPT("a",60),ROW($A$1:$A$60),1),"ABCDEFGHIJKLMNOPQRSTUVWXYZabcdefghijklmnopqrstuvwxyzČĆĐŠŽčćđšž -'")))=0,0,1)+IF(SUMPRODUCT(--ISERROR(FIND(MID($I98&amp;REPT("a",60),ROW($A$1:$A$60),1),"ABCDEFGHIJKLMNOPQRSTUVWXYZabcdefghijklmnopqrstuvwxyzČĆĐŠŽčćđšž -'")))=0,0,1)+IF(SUMPRODUCT(--ISERROR(FIND(MID($L98&amp;REPT("a",60),ROW($A$1:$A$60),1),"ABCDEFGHIJKLMNOPQRSTUVWXYZabcdefghijklmnopqrstuvwxyzČĆĐŠŽčćđšž -'")))=0,0,1)+IF(SUMPRODUCT(--ISERROR(FIND(MID($O98&amp;REPT("a",60),ROW($A$1:$A$60),1),"ABCDEFGHIJKLMNOPQRSTUVWXYZabcdefghijklmnopqrstuvwxyzČĆĐŠŽčćđšž -'")))=0,0,1)&gt;0,"Ime sadrži znakove koji nisu slova",IF(COUNTA($G98,$J98,$M98,$P98)&lt;&gt;COUNTA($F98,$I98,$L98,$O98),"Nedostaje pol za nekog od članova",IF(COUNTA($F98,$I98,$L98,$O98)&lt;VLOOKUP($A98,ekipe,2,FALSE),"Ekipa mora imati najmanje "&amp;VLOOKUP($A98,ekipe,2,FALSE)&amp;" člana",IF(COUNTA($F98,$I98,$L98,$O98)&gt;VLOOKUP($A98,ekipe,3,FALSE),"Ekipa može imati najviše "&amp;VLOOKUP($A98,ekipe,3,FALSE)&amp;" člana",IF($B98="","Nedostaje vrsta ekipe","prijava je kompletna")))))))))))</f>
        <v/>
      </c>
      <c r="R98">
        <f>IF($C98="","sve_ekipne","tdisc_"&amp;$C98)</f>
        <v/>
      </c>
    </row>
    <row r="99" spans="1:18">
      <c r="A99" s="5"/>
      <c r="B99" s="5"/>
      <c r="C99" s="7">
        <f>IF($E99="","",LOOKUP($E99,INDEX(grupe,0,1),INDEX(grupe,0,2)))</f>
        <v/>
      </c>
      <c r="D99" s="7">
        <f>IF($C99="","",VLOOKUP($C99,INDEX(grupe,0,2):INDEX(grupe,0,3),2,FALSE))</f>
        <v/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8">
        <f>IF(COUNTA($A99:$B99,$E99,$H99,$K99,$N99,$F99,$I99,$L99,$O99)=0,"",IF($A99="","Nedostaje disciplina",IF($E99="","Nedostaje godište prvog člana",IF($C99="","Godište nije obuhvaćeno uzrasnom tabelom",IF(COUNTIF(INDIRECT("tdisc_"&amp;$C99),$A99)=0,"Disciplina nije moguća za uzrast "&amp;$C99,IF(IF($E99="",0,IF(LOOKUP($E99,INDEX(grupe,0,1),INDEX(grupe,0,2))=$C99,0,1))+IF($H99="",0,IF(LOOKUP($H99,INDEX(grupe,0,1),INDEX(grupe,0,2))=$C99,0,1))+IF($K99="",0,IF(LOOKUP($K99,INDEX(grupe,0,1),INDEX(grupe,0,2))=$C99,0,1))+IF($N99="",0,IF(LOOKUP($N99,INDEX(grupe,0,1),INDEX(grupe,0,2))=$C99,0,1))&gt;0,"Članovi ekipe nisu iz iste uzrasne grupe",IF(COUNTA($F99,$I99,$L99,$O99)&lt;&gt;COUNTA($E99,$H99,$K99,$N99),"Za svakog člana potrebni su i godište i ime",IF(IF(SUMPRODUCT(--ISERROR(FIND(MID($F99&amp;REPT("a",60),ROW($A$1:$A$60),1),"ABCDEFGHIJKLMNOPQRSTUVWXYZabcdefghijklmnopqrstuvwxyzČĆĐŠŽčćđšž -'")))=0,0,1)+IF(SUMPRODUCT(--ISERROR(FIND(MID($I99&amp;REPT("a",60),ROW($A$1:$A$60),1),"ABCDEFGHIJKLMNOPQRSTUVWXYZabcdefghijklmnopqrstuvwxyzČĆĐŠŽčćđšž -'")))=0,0,1)+IF(SUMPRODUCT(--ISERROR(FIND(MID($L99&amp;REPT("a",60),ROW($A$1:$A$60),1),"ABCDEFGHIJKLMNOPQRSTUVWXYZabcdefghijklmnopqrstuvwxyzČĆĐŠŽčćđšž -'")))=0,0,1)+IF(SUMPRODUCT(--ISERROR(FIND(MID($O99&amp;REPT("a",60),ROW($A$1:$A$60),1),"ABCDEFGHIJKLMNOPQRSTUVWXYZabcdefghijklmnopqrstuvwxyzČĆĐŠŽčćđšž -'")))=0,0,1)&gt;0,"Ime sadrži znakove koji nisu slova",IF(COUNTA($G99,$J99,$M99,$P99)&lt;&gt;COUNTA($F99,$I99,$L99,$O99),"Nedostaje pol za nekog od članova",IF(COUNTA($F99,$I99,$L99,$O99)&lt;VLOOKUP($A99,ekipe,2,FALSE),"Ekipa mora imati najmanje "&amp;VLOOKUP($A99,ekipe,2,FALSE)&amp;" člana",IF(COUNTA($F99,$I99,$L99,$O99)&gt;VLOOKUP($A99,ekipe,3,FALSE),"Ekipa može imati najviše "&amp;VLOOKUP($A99,ekipe,3,FALSE)&amp;" člana",IF($B99="","Nedostaje vrsta ekipe","prijava je kompletna")))))))))))</f>
        <v/>
      </c>
      <c r="R99">
        <f>IF($C99="","sve_ekipne","tdisc_"&amp;$C99)</f>
        <v/>
      </c>
    </row>
    <row r="100" spans="1:18">
      <c r="A100" s="5"/>
      <c r="B100" s="5"/>
      <c r="C100" s="7">
        <f>IF($E100="","",LOOKUP($E100,INDEX(grupe,0,1),INDEX(grupe,0,2)))</f>
        <v/>
      </c>
      <c r="D100" s="7">
        <f>IF($C100="","",VLOOKUP($C100,INDEX(grupe,0,2):INDEX(grupe,0,3),2,FALSE))</f>
        <v/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8">
        <f>IF(COUNTA($A100:$B100,$E100,$H100,$K100,$N100,$F100,$I100,$L100,$O100)=0,"",IF($A100="","Nedostaje disciplina",IF($E100="","Nedostaje godište prvog člana",IF($C100="","Godište nije obuhvaćeno uzrasnom tabelom",IF(COUNTIF(INDIRECT("tdisc_"&amp;$C100),$A100)=0,"Disciplina nije moguća za uzrast "&amp;$C100,IF(IF($E100="",0,IF(LOOKUP($E100,INDEX(grupe,0,1),INDEX(grupe,0,2))=$C100,0,1))+IF($H100="",0,IF(LOOKUP($H100,INDEX(grupe,0,1),INDEX(grupe,0,2))=$C100,0,1))+IF($K100="",0,IF(LOOKUP($K100,INDEX(grupe,0,1),INDEX(grupe,0,2))=$C100,0,1))+IF($N100="",0,IF(LOOKUP($N100,INDEX(grupe,0,1),INDEX(grupe,0,2))=$C100,0,1))&gt;0,"Članovi ekipe nisu iz iste uzrasne grupe",IF(COUNTA($F100,$I100,$L100,$O100)&lt;&gt;COUNTA($E100,$H100,$K100,$N100),"Za svakog člana potrebni su i godište i ime",IF(IF(SUMPRODUCT(--ISERROR(FIND(MID($F100&amp;REPT("a",60),ROW($A$1:$A$60),1),"ABCDEFGHIJKLMNOPQRSTUVWXYZabcdefghijklmnopqrstuvwxyzČĆĐŠŽčćđšž -'")))=0,0,1)+IF(SUMPRODUCT(--ISERROR(FIND(MID($I100&amp;REPT("a",60),ROW($A$1:$A$60),1),"ABCDEFGHIJKLMNOPQRSTUVWXYZabcdefghijklmnopqrstuvwxyzČĆĐŠŽčćđšž -'")))=0,0,1)+IF(SUMPRODUCT(--ISERROR(FIND(MID($L100&amp;REPT("a",60),ROW($A$1:$A$60),1),"ABCDEFGHIJKLMNOPQRSTUVWXYZabcdefghijklmnopqrstuvwxyzČĆĐŠŽčćđšž -'")))=0,0,1)+IF(SUMPRODUCT(--ISERROR(FIND(MID($O100&amp;REPT("a",60),ROW($A$1:$A$60),1),"ABCDEFGHIJKLMNOPQRSTUVWXYZabcdefghijklmnopqrstuvwxyzČĆĐŠŽčćđšž -'")))=0,0,1)&gt;0,"Ime sadrži znakove koji nisu slova",IF(COUNTA($G100,$J100,$M100,$P100)&lt;&gt;COUNTA($F100,$I100,$L100,$O100),"Nedostaje pol za nekog od članova",IF(COUNTA($F100,$I100,$L100,$O100)&lt;VLOOKUP($A100,ekipe,2,FALSE),"Ekipa mora imati najmanje "&amp;VLOOKUP($A100,ekipe,2,FALSE)&amp;" člana",IF(COUNTA($F100,$I100,$L100,$O100)&gt;VLOOKUP($A100,ekipe,3,FALSE),"Ekipa može imati najviše "&amp;VLOOKUP($A100,ekipe,3,FALSE)&amp;" člana",IF($B100="","Nedostaje vrsta ekipe","prijava je kompletna")))))))))))</f>
        <v/>
      </c>
      <c r="R100">
        <f>IF($C100="","sve_ekipne","tdisc_"&amp;$C100)</f>
        <v/>
      </c>
    </row>
    <row r="101" spans="1:18">
      <c r="A101" s="5"/>
      <c r="B101" s="5"/>
      <c r="C101" s="7">
        <f>IF($E101="","",LOOKUP($E101,INDEX(grupe,0,1),INDEX(grupe,0,2)))</f>
        <v/>
      </c>
      <c r="D101" s="7">
        <f>IF($C101="","",VLOOKUP($C101,INDEX(grupe,0,2):INDEX(grupe,0,3),2,FALSE))</f>
        <v/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8">
        <f>IF(COUNTA($A101:$B101,$E101,$H101,$K101,$N101,$F101,$I101,$L101,$O101)=0,"",IF($A101="","Nedostaje disciplina",IF($E101="","Nedostaje godište prvog člana",IF($C101="","Godište nije obuhvaćeno uzrasnom tabelom",IF(COUNTIF(INDIRECT("tdisc_"&amp;$C101),$A101)=0,"Disciplina nije moguća za uzrast "&amp;$C101,IF(IF($E101="",0,IF(LOOKUP($E101,INDEX(grupe,0,1),INDEX(grupe,0,2))=$C101,0,1))+IF($H101="",0,IF(LOOKUP($H101,INDEX(grupe,0,1),INDEX(grupe,0,2))=$C101,0,1))+IF($K101="",0,IF(LOOKUP($K101,INDEX(grupe,0,1),INDEX(grupe,0,2))=$C101,0,1))+IF($N101="",0,IF(LOOKUP($N101,INDEX(grupe,0,1),INDEX(grupe,0,2))=$C101,0,1))&gt;0,"Članovi ekipe nisu iz iste uzrasne grupe",IF(COUNTA($F101,$I101,$L101,$O101)&lt;&gt;COUNTA($E101,$H101,$K101,$N101),"Za svakog člana potrebni su i godište i ime",IF(IF(SUMPRODUCT(--ISERROR(FIND(MID($F101&amp;REPT("a",60),ROW($A$1:$A$60),1),"ABCDEFGHIJKLMNOPQRSTUVWXYZabcdefghijklmnopqrstuvwxyzČĆĐŠŽčćđšž -'")))=0,0,1)+IF(SUMPRODUCT(--ISERROR(FIND(MID($I101&amp;REPT("a",60),ROW($A$1:$A$60),1),"ABCDEFGHIJKLMNOPQRSTUVWXYZabcdefghijklmnopqrstuvwxyzČĆĐŠŽčćđšž -'")))=0,0,1)+IF(SUMPRODUCT(--ISERROR(FIND(MID($L101&amp;REPT("a",60),ROW($A$1:$A$60),1),"ABCDEFGHIJKLMNOPQRSTUVWXYZabcdefghijklmnopqrstuvwxyzČĆĐŠŽčćđšž -'")))=0,0,1)+IF(SUMPRODUCT(--ISERROR(FIND(MID($O101&amp;REPT("a",60),ROW($A$1:$A$60),1),"ABCDEFGHIJKLMNOPQRSTUVWXYZabcdefghijklmnopqrstuvwxyzČĆĐŠŽčćđšž -'")))=0,0,1)&gt;0,"Ime sadrži znakove koji nisu slova",IF(COUNTA($G101,$J101,$M101,$P101)&lt;&gt;COUNTA($F101,$I101,$L101,$O101),"Nedostaje pol za nekog od članova",IF(COUNTA($F101,$I101,$L101,$O101)&lt;VLOOKUP($A101,ekipe,2,FALSE),"Ekipa mora imati najmanje "&amp;VLOOKUP($A101,ekipe,2,FALSE)&amp;" člana",IF(COUNTA($F101,$I101,$L101,$O101)&gt;VLOOKUP($A101,ekipe,3,FALSE),"Ekipa može imati najviše "&amp;VLOOKUP($A101,ekipe,3,FALSE)&amp;" člana",IF($B101="","Nedostaje vrsta ekipe","prijava je kompletna")))))))))))</f>
        <v/>
      </c>
      <c r="R101">
        <f>IF($C101="","sve_ekipne","tdisc_"&amp;$C101)</f>
        <v/>
      </c>
    </row>
    <row r="102" spans="1:18">
      <c r="A102" s="5"/>
      <c r="B102" s="5"/>
      <c r="C102" s="7">
        <f>IF($E102="","",LOOKUP($E102,INDEX(grupe,0,1),INDEX(grupe,0,2)))</f>
        <v/>
      </c>
      <c r="D102" s="7">
        <f>IF($C102="","",VLOOKUP($C102,INDEX(grupe,0,2):INDEX(grupe,0,3),2,FALSE))</f>
        <v/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8">
        <f>IF(COUNTA($A102:$B102,$E102,$H102,$K102,$N102,$F102,$I102,$L102,$O102)=0,"",IF($A102="","Nedostaje disciplina",IF($E102="","Nedostaje godište prvog člana",IF($C102="","Godište nije obuhvaćeno uzrasnom tabelom",IF(COUNTIF(INDIRECT("tdisc_"&amp;$C102),$A102)=0,"Disciplina nije moguća za uzrast "&amp;$C102,IF(IF($E102="",0,IF(LOOKUP($E102,INDEX(grupe,0,1),INDEX(grupe,0,2))=$C102,0,1))+IF($H102="",0,IF(LOOKUP($H102,INDEX(grupe,0,1),INDEX(grupe,0,2))=$C102,0,1))+IF($K102="",0,IF(LOOKUP($K102,INDEX(grupe,0,1),INDEX(grupe,0,2))=$C102,0,1))+IF($N102="",0,IF(LOOKUP($N102,INDEX(grupe,0,1),INDEX(grupe,0,2))=$C102,0,1))&gt;0,"Članovi ekipe nisu iz iste uzrasne grupe",IF(COUNTA($F102,$I102,$L102,$O102)&lt;&gt;COUNTA($E102,$H102,$K102,$N102),"Za svakog člana potrebni su i godište i ime",IF(IF(SUMPRODUCT(--ISERROR(FIND(MID($F102&amp;REPT("a",60),ROW($A$1:$A$60),1),"ABCDEFGHIJKLMNOPQRSTUVWXYZabcdefghijklmnopqrstuvwxyzČĆĐŠŽčćđšž -'")))=0,0,1)+IF(SUMPRODUCT(--ISERROR(FIND(MID($I102&amp;REPT("a",60),ROW($A$1:$A$60),1),"ABCDEFGHIJKLMNOPQRSTUVWXYZabcdefghijklmnopqrstuvwxyzČĆĐŠŽčćđšž -'")))=0,0,1)+IF(SUMPRODUCT(--ISERROR(FIND(MID($L102&amp;REPT("a",60),ROW($A$1:$A$60),1),"ABCDEFGHIJKLMNOPQRSTUVWXYZabcdefghijklmnopqrstuvwxyzČĆĐŠŽčćđšž -'")))=0,0,1)+IF(SUMPRODUCT(--ISERROR(FIND(MID($O102&amp;REPT("a",60),ROW($A$1:$A$60),1),"ABCDEFGHIJKLMNOPQRSTUVWXYZabcdefghijklmnopqrstuvwxyzČĆĐŠŽčćđšž -'")))=0,0,1)&gt;0,"Ime sadrži znakove koji nisu slova",IF(COUNTA($G102,$J102,$M102,$P102)&lt;&gt;COUNTA($F102,$I102,$L102,$O102),"Nedostaje pol za nekog od članova",IF(COUNTA($F102,$I102,$L102,$O102)&lt;VLOOKUP($A102,ekipe,2,FALSE),"Ekipa mora imati najmanje "&amp;VLOOKUP($A102,ekipe,2,FALSE)&amp;" člana",IF(COUNTA($F102,$I102,$L102,$O102)&gt;VLOOKUP($A102,ekipe,3,FALSE),"Ekipa može imati najviše "&amp;VLOOKUP($A102,ekipe,3,FALSE)&amp;" člana",IF($B102="","Nedostaje vrsta ekipe","prijava je kompletna")))))))))))</f>
        <v/>
      </c>
      <c r="R102">
        <f>IF($C102="","sve_ekipne","tdisc_"&amp;$C102)</f>
        <v/>
      </c>
    </row>
    <row r="103" spans="1:18">
      <c r="A103" s="5"/>
      <c r="B103" s="5"/>
      <c r="C103" s="7">
        <f>IF($E103="","",LOOKUP($E103,INDEX(grupe,0,1),INDEX(grupe,0,2)))</f>
        <v/>
      </c>
      <c r="D103" s="7">
        <f>IF($C103="","",VLOOKUP($C103,INDEX(grupe,0,2):INDEX(grupe,0,3),2,FALSE))</f>
        <v/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8">
        <f>IF(COUNTA($A103:$B103,$E103,$H103,$K103,$N103,$F103,$I103,$L103,$O103)=0,"",IF($A103="","Nedostaje disciplina",IF($E103="","Nedostaje godište prvog člana",IF($C103="","Godište nije obuhvaćeno uzrasnom tabelom",IF(COUNTIF(INDIRECT("tdisc_"&amp;$C103),$A103)=0,"Disciplina nije moguća za uzrast "&amp;$C103,IF(IF($E103="",0,IF(LOOKUP($E103,INDEX(grupe,0,1),INDEX(grupe,0,2))=$C103,0,1))+IF($H103="",0,IF(LOOKUP($H103,INDEX(grupe,0,1),INDEX(grupe,0,2))=$C103,0,1))+IF($K103="",0,IF(LOOKUP($K103,INDEX(grupe,0,1),INDEX(grupe,0,2))=$C103,0,1))+IF($N103="",0,IF(LOOKUP($N103,INDEX(grupe,0,1),INDEX(grupe,0,2))=$C103,0,1))&gt;0,"Članovi ekipe nisu iz iste uzrasne grupe",IF(COUNTA($F103,$I103,$L103,$O103)&lt;&gt;COUNTA($E103,$H103,$K103,$N103),"Za svakog člana potrebni su i godište i ime",IF(IF(SUMPRODUCT(--ISERROR(FIND(MID($F103&amp;REPT("a",60),ROW($A$1:$A$60),1),"ABCDEFGHIJKLMNOPQRSTUVWXYZabcdefghijklmnopqrstuvwxyzČĆĐŠŽčćđšž -'")))=0,0,1)+IF(SUMPRODUCT(--ISERROR(FIND(MID($I103&amp;REPT("a",60),ROW($A$1:$A$60),1),"ABCDEFGHIJKLMNOPQRSTUVWXYZabcdefghijklmnopqrstuvwxyzČĆĐŠŽčćđšž -'")))=0,0,1)+IF(SUMPRODUCT(--ISERROR(FIND(MID($L103&amp;REPT("a",60),ROW($A$1:$A$60),1),"ABCDEFGHIJKLMNOPQRSTUVWXYZabcdefghijklmnopqrstuvwxyzČĆĐŠŽčćđšž -'")))=0,0,1)+IF(SUMPRODUCT(--ISERROR(FIND(MID($O103&amp;REPT("a",60),ROW($A$1:$A$60),1),"ABCDEFGHIJKLMNOPQRSTUVWXYZabcdefghijklmnopqrstuvwxyzČĆĐŠŽčćđšž -'")))=0,0,1)&gt;0,"Ime sadrži znakove koji nisu slova",IF(COUNTA($G103,$J103,$M103,$P103)&lt;&gt;COUNTA($F103,$I103,$L103,$O103),"Nedostaje pol za nekog od članova",IF(COUNTA($F103,$I103,$L103,$O103)&lt;VLOOKUP($A103,ekipe,2,FALSE),"Ekipa mora imati najmanje "&amp;VLOOKUP($A103,ekipe,2,FALSE)&amp;" člana",IF(COUNTA($F103,$I103,$L103,$O103)&gt;VLOOKUP($A103,ekipe,3,FALSE),"Ekipa može imati najviše "&amp;VLOOKUP($A103,ekipe,3,FALSE)&amp;" člana",IF($B103="","Nedostaje vrsta ekipe","prijava je kompletna")))))))))))</f>
        <v/>
      </c>
      <c r="R103">
        <f>IF($C103="","sve_ekipne","tdisc_"&amp;$C103)</f>
        <v/>
      </c>
    </row>
    <row r="104" spans="1:18">
      <c r="A104" s="5"/>
      <c r="B104" s="5"/>
      <c r="C104" s="7">
        <f>IF($E104="","",LOOKUP($E104,INDEX(grupe,0,1),INDEX(grupe,0,2)))</f>
        <v/>
      </c>
      <c r="D104" s="7">
        <f>IF($C104="","",VLOOKUP($C104,INDEX(grupe,0,2):INDEX(grupe,0,3),2,FALSE))</f>
        <v/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8">
        <f>IF(COUNTA($A104:$B104,$E104,$H104,$K104,$N104,$F104,$I104,$L104,$O104)=0,"",IF($A104="","Nedostaje disciplina",IF($E104="","Nedostaje godište prvog člana",IF($C104="","Godište nije obuhvaćeno uzrasnom tabelom",IF(COUNTIF(INDIRECT("tdisc_"&amp;$C104),$A104)=0,"Disciplina nije moguća za uzrast "&amp;$C104,IF(IF($E104="",0,IF(LOOKUP($E104,INDEX(grupe,0,1),INDEX(grupe,0,2))=$C104,0,1))+IF($H104="",0,IF(LOOKUP($H104,INDEX(grupe,0,1),INDEX(grupe,0,2))=$C104,0,1))+IF($K104="",0,IF(LOOKUP($K104,INDEX(grupe,0,1),INDEX(grupe,0,2))=$C104,0,1))+IF($N104="",0,IF(LOOKUP($N104,INDEX(grupe,0,1),INDEX(grupe,0,2))=$C104,0,1))&gt;0,"Članovi ekipe nisu iz iste uzrasne grupe",IF(COUNTA($F104,$I104,$L104,$O104)&lt;&gt;COUNTA($E104,$H104,$K104,$N104),"Za svakog člana potrebni su i godište i ime",IF(IF(SUMPRODUCT(--ISERROR(FIND(MID($F104&amp;REPT("a",60),ROW($A$1:$A$60),1),"ABCDEFGHIJKLMNOPQRSTUVWXYZabcdefghijklmnopqrstuvwxyzČĆĐŠŽčćđšž -'")))=0,0,1)+IF(SUMPRODUCT(--ISERROR(FIND(MID($I104&amp;REPT("a",60),ROW($A$1:$A$60),1),"ABCDEFGHIJKLMNOPQRSTUVWXYZabcdefghijklmnopqrstuvwxyzČĆĐŠŽčćđšž -'")))=0,0,1)+IF(SUMPRODUCT(--ISERROR(FIND(MID($L104&amp;REPT("a",60),ROW($A$1:$A$60),1),"ABCDEFGHIJKLMNOPQRSTUVWXYZabcdefghijklmnopqrstuvwxyzČĆĐŠŽčćđšž -'")))=0,0,1)+IF(SUMPRODUCT(--ISERROR(FIND(MID($O104&amp;REPT("a",60),ROW($A$1:$A$60),1),"ABCDEFGHIJKLMNOPQRSTUVWXYZabcdefghijklmnopqrstuvwxyzČĆĐŠŽčćđšž -'")))=0,0,1)&gt;0,"Ime sadrži znakove koji nisu slova",IF(COUNTA($G104,$J104,$M104,$P104)&lt;&gt;COUNTA($F104,$I104,$L104,$O104),"Nedostaje pol za nekog od članova",IF(COUNTA($F104,$I104,$L104,$O104)&lt;VLOOKUP($A104,ekipe,2,FALSE),"Ekipa mora imati najmanje "&amp;VLOOKUP($A104,ekipe,2,FALSE)&amp;" člana",IF(COUNTA($F104,$I104,$L104,$O104)&gt;VLOOKUP($A104,ekipe,3,FALSE),"Ekipa može imati najviše "&amp;VLOOKUP($A104,ekipe,3,FALSE)&amp;" člana",IF($B104="","Nedostaje vrsta ekipe","prijava je kompletna")))))))))))</f>
        <v/>
      </c>
      <c r="R104">
        <f>IF($C104="","sve_ekipne","tdisc_"&amp;$C104)</f>
        <v/>
      </c>
    </row>
    <row r="105" spans="1:18">
      <c r="A105" s="5"/>
      <c r="B105" s="5"/>
      <c r="C105" s="7">
        <f>IF($E105="","",LOOKUP($E105,INDEX(grupe,0,1),INDEX(grupe,0,2)))</f>
        <v/>
      </c>
      <c r="D105" s="7">
        <f>IF($C105="","",VLOOKUP($C105,INDEX(grupe,0,2):INDEX(grupe,0,3),2,FALSE))</f>
        <v/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8">
        <f>IF(COUNTA($A105:$B105,$E105,$H105,$K105,$N105,$F105,$I105,$L105,$O105)=0,"",IF($A105="","Nedostaje disciplina",IF($E105="","Nedostaje godište prvog člana",IF($C105="","Godište nije obuhvaćeno uzrasnom tabelom",IF(COUNTIF(INDIRECT("tdisc_"&amp;$C105),$A105)=0,"Disciplina nije moguća za uzrast "&amp;$C105,IF(IF($E105="",0,IF(LOOKUP($E105,INDEX(grupe,0,1),INDEX(grupe,0,2))=$C105,0,1))+IF($H105="",0,IF(LOOKUP($H105,INDEX(grupe,0,1),INDEX(grupe,0,2))=$C105,0,1))+IF($K105="",0,IF(LOOKUP($K105,INDEX(grupe,0,1),INDEX(grupe,0,2))=$C105,0,1))+IF($N105="",0,IF(LOOKUP($N105,INDEX(grupe,0,1),INDEX(grupe,0,2))=$C105,0,1))&gt;0,"Članovi ekipe nisu iz iste uzrasne grupe",IF(COUNTA($F105,$I105,$L105,$O105)&lt;&gt;COUNTA($E105,$H105,$K105,$N105),"Za svakog člana potrebni su i godište i ime",IF(IF(SUMPRODUCT(--ISERROR(FIND(MID($F105&amp;REPT("a",60),ROW($A$1:$A$60),1),"ABCDEFGHIJKLMNOPQRSTUVWXYZabcdefghijklmnopqrstuvwxyzČĆĐŠŽčćđšž -'")))=0,0,1)+IF(SUMPRODUCT(--ISERROR(FIND(MID($I105&amp;REPT("a",60),ROW($A$1:$A$60),1),"ABCDEFGHIJKLMNOPQRSTUVWXYZabcdefghijklmnopqrstuvwxyzČĆĐŠŽčćđšž -'")))=0,0,1)+IF(SUMPRODUCT(--ISERROR(FIND(MID($L105&amp;REPT("a",60),ROW($A$1:$A$60),1),"ABCDEFGHIJKLMNOPQRSTUVWXYZabcdefghijklmnopqrstuvwxyzČĆĐŠŽčćđšž -'")))=0,0,1)+IF(SUMPRODUCT(--ISERROR(FIND(MID($O105&amp;REPT("a",60),ROW($A$1:$A$60),1),"ABCDEFGHIJKLMNOPQRSTUVWXYZabcdefghijklmnopqrstuvwxyzČĆĐŠŽčćđšž -'")))=0,0,1)&gt;0,"Ime sadrži znakove koji nisu slova",IF(COUNTA($G105,$J105,$M105,$P105)&lt;&gt;COUNTA($F105,$I105,$L105,$O105),"Nedostaje pol za nekog od članova",IF(COUNTA($F105,$I105,$L105,$O105)&lt;VLOOKUP($A105,ekipe,2,FALSE),"Ekipa mora imati najmanje "&amp;VLOOKUP($A105,ekipe,2,FALSE)&amp;" člana",IF(COUNTA($F105,$I105,$L105,$O105)&gt;VLOOKUP($A105,ekipe,3,FALSE),"Ekipa može imati najviše "&amp;VLOOKUP($A105,ekipe,3,FALSE)&amp;" člana",IF($B105="","Nedostaje vrsta ekipe","prijava je kompletna")))))))))))</f>
        <v/>
      </c>
      <c r="R105">
        <f>IF($C105="","sve_ekipne","tdisc_"&amp;$C105)</f>
        <v/>
      </c>
    </row>
    <row r="106" spans="1:18">
      <c r="A106" s="5"/>
      <c r="B106" s="5"/>
      <c r="C106" s="7">
        <f>IF($E106="","",LOOKUP($E106,INDEX(grupe,0,1),INDEX(grupe,0,2)))</f>
        <v/>
      </c>
      <c r="D106" s="7">
        <f>IF($C106="","",VLOOKUP($C106,INDEX(grupe,0,2):INDEX(grupe,0,3),2,FALSE))</f>
        <v/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8">
        <f>IF(COUNTA($A106:$B106,$E106,$H106,$K106,$N106,$F106,$I106,$L106,$O106)=0,"",IF($A106="","Nedostaje disciplina",IF($E106="","Nedostaje godište prvog člana",IF($C106="","Godište nije obuhvaćeno uzrasnom tabelom",IF(COUNTIF(INDIRECT("tdisc_"&amp;$C106),$A106)=0,"Disciplina nije moguća za uzrast "&amp;$C106,IF(IF($E106="",0,IF(LOOKUP($E106,INDEX(grupe,0,1),INDEX(grupe,0,2))=$C106,0,1))+IF($H106="",0,IF(LOOKUP($H106,INDEX(grupe,0,1),INDEX(grupe,0,2))=$C106,0,1))+IF($K106="",0,IF(LOOKUP($K106,INDEX(grupe,0,1),INDEX(grupe,0,2))=$C106,0,1))+IF($N106="",0,IF(LOOKUP($N106,INDEX(grupe,0,1),INDEX(grupe,0,2))=$C106,0,1))&gt;0,"Članovi ekipe nisu iz iste uzrasne grupe",IF(COUNTA($F106,$I106,$L106,$O106)&lt;&gt;COUNTA($E106,$H106,$K106,$N106),"Za svakog člana potrebni su i godište i ime",IF(IF(SUMPRODUCT(--ISERROR(FIND(MID($F106&amp;REPT("a",60),ROW($A$1:$A$60),1),"ABCDEFGHIJKLMNOPQRSTUVWXYZabcdefghijklmnopqrstuvwxyzČĆĐŠŽčćđšž -'")))=0,0,1)+IF(SUMPRODUCT(--ISERROR(FIND(MID($I106&amp;REPT("a",60),ROW($A$1:$A$60),1),"ABCDEFGHIJKLMNOPQRSTUVWXYZabcdefghijklmnopqrstuvwxyzČĆĐŠŽčćđšž -'")))=0,0,1)+IF(SUMPRODUCT(--ISERROR(FIND(MID($L106&amp;REPT("a",60),ROW($A$1:$A$60),1),"ABCDEFGHIJKLMNOPQRSTUVWXYZabcdefghijklmnopqrstuvwxyzČĆĐŠŽčćđšž -'")))=0,0,1)+IF(SUMPRODUCT(--ISERROR(FIND(MID($O106&amp;REPT("a",60),ROW($A$1:$A$60),1),"ABCDEFGHIJKLMNOPQRSTUVWXYZabcdefghijklmnopqrstuvwxyzČĆĐŠŽčćđšž -'")))=0,0,1)&gt;0,"Ime sadrži znakove koji nisu slova",IF(COUNTA($G106,$J106,$M106,$P106)&lt;&gt;COUNTA($F106,$I106,$L106,$O106),"Nedostaje pol za nekog od članova",IF(COUNTA($F106,$I106,$L106,$O106)&lt;VLOOKUP($A106,ekipe,2,FALSE),"Ekipa mora imati najmanje "&amp;VLOOKUP($A106,ekipe,2,FALSE)&amp;" člana",IF(COUNTA($F106,$I106,$L106,$O106)&gt;VLOOKUP($A106,ekipe,3,FALSE),"Ekipa može imati najviše "&amp;VLOOKUP($A106,ekipe,3,FALSE)&amp;" člana",IF($B106="","Nedostaje vrsta ekipe","prijava je kompletna")))))))))))</f>
        <v/>
      </c>
      <c r="R106">
        <f>IF($C106="","sve_ekipne","tdisc_"&amp;$C106)</f>
        <v/>
      </c>
    </row>
    <row r="107" spans="1:18">
      <c r="A107" s="5"/>
      <c r="B107" s="5"/>
      <c r="C107" s="7">
        <f>IF($E107="","",LOOKUP($E107,INDEX(grupe,0,1),INDEX(grupe,0,2)))</f>
        <v/>
      </c>
      <c r="D107" s="7">
        <f>IF($C107="","",VLOOKUP($C107,INDEX(grupe,0,2):INDEX(grupe,0,3),2,FALSE))</f>
        <v/>
      </c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8">
        <f>IF(COUNTA($A107:$B107,$E107,$H107,$K107,$N107,$F107,$I107,$L107,$O107)=0,"",IF($A107="","Nedostaje disciplina",IF($E107="","Nedostaje godište prvog člana",IF($C107="","Godište nije obuhvaćeno uzrasnom tabelom",IF(COUNTIF(INDIRECT("tdisc_"&amp;$C107),$A107)=0,"Disciplina nije moguća za uzrast "&amp;$C107,IF(IF($E107="",0,IF(LOOKUP($E107,INDEX(grupe,0,1),INDEX(grupe,0,2))=$C107,0,1))+IF($H107="",0,IF(LOOKUP($H107,INDEX(grupe,0,1),INDEX(grupe,0,2))=$C107,0,1))+IF($K107="",0,IF(LOOKUP($K107,INDEX(grupe,0,1),INDEX(grupe,0,2))=$C107,0,1))+IF($N107="",0,IF(LOOKUP($N107,INDEX(grupe,0,1),INDEX(grupe,0,2))=$C107,0,1))&gt;0,"Članovi ekipe nisu iz iste uzrasne grupe",IF(COUNTA($F107,$I107,$L107,$O107)&lt;&gt;COUNTA($E107,$H107,$K107,$N107),"Za svakog člana potrebni su i godište i ime",IF(IF(SUMPRODUCT(--ISERROR(FIND(MID($F107&amp;REPT("a",60),ROW($A$1:$A$60),1),"ABCDEFGHIJKLMNOPQRSTUVWXYZabcdefghijklmnopqrstuvwxyzČĆĐŠŽčćđšž -'")))=0,0,1)+IF(SUMPRODUCT(--ISERROR(FIND(MID($I107&amp;REPT("a",60),ROW($A$1:$A$60),1),"ABCDEFGHIJKLMNOPQRSTUVWXYZabcdefghijklmnopqrstuvwxyzČĆĐŠŽčćđšž -'")))=0,0,1)+IF(SUMPRODUCT(--ISERROR(FIND(MID($L107&amp;REPT("a",60),ROW($A$1:$A$60),1),"ABCDEFGHIJKLMNOPQRSTUVWXYZabcdefghijklmnopqrstuvwxyzČĆĐŠŽčćđšž -'")))=0,0,1)+IF(SUMPRODUCT(--ISERROR(FIND(MID($O107&amp;REPT("a",60),ROW($A$1:$A$60),1),"ABCDEFGHIJKLMNOPQRSTUVWXYZabcdefghijklmnopqrstuvwxyzČĆĐŠŽčćđšž -'")))=0,0,1)&gt;0,"Ime sadrži znakove koji nisu slova",IF(COUNTA($G107,$J107,$M107,$P107)&lt;&gt;COUNTA($F107,$I107,$L107,$O107),"Nedostaje pol za nekog od članova",IF(COUNTA($F107,$I107,$L107,$O107)&lt;VLOOKUP($A107,ekipe,2,FALSE),"Ekipa mora imati najmanje "&amp;VLOOKUP($A107,ekipe,2,FALSE)&amp;" člana",IF(COUNTA($F107,$I107,$L107,$O107)&gt;VLOOKUP($A107,ekipe,3,FALSE),"Ekipa može imati najviše "&amp;VLOOKUP($A107,ekipe,3,FALSE)&amp;" člana",IF($B107="","Nedostaje vrsta ekipe","prijava je kompletna")))))))))))</f>
        <v/>
      </c>
      <c r="R107">
        <f>IF($C107="","sve_ekipne","tdisc_"&amp;$C107)</f>
        <v/>
      </c>
    </row>
    <row r="108" spans="1:18">
      <c r="A108" s="5"/>
      <c r="B108" s="5"/>
      <c r="C108" s="7">
        <f>IF($E108="","",LOOKUP($E108,INDEX(grupe,0,1),INDEX(grupe,0,2)))</f>
        <v/>
      </c>
      <c r="D108" s="7">
        <f>IF($C108="","",VLOOKUP($C108,INDEX(grupe,0,2):INDEX(grupe,0,3),2,FALSE))</f>
        <v/>
      </c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8">
        <f>IF(COUNTA($A108:$B108,$E108,$H108,$K108,$N108,$F108,$I108,$L108,$O108)=0,"",IF($A108="","Nedostaje disciplina",IF($E108="","Nedostaje godište prvog člana",IF($C108="","Godište nije obuhvaćeno uzrasnom tabelom",IF(COUNTIF(INDIRECT("tdisc_"&amp;$C108),$A108)=0,"Disciplina nije moguća za uzrast "&amp;$C108,IF(IF($E108="",0,IF(LOOKUP($E108,INDEX(grupe,0,1),INDEX(grupe,0,2))=$C108,0,1))+IF($H108="",0,IF(LOOKUP($H108,INDEX(grupe,0,1),INDEX(grupe,0,2))=$C108,0,1))+IF($K108="",0,IF(LOOKUP($K108,INDEX(grupe,0,1),INDEX(grupe,0,2))=$C108,0,1))+IF($N108="",0,IF(LOOKUP($N108,INDEX(grupe,0,1),INDEX(grupe,0,2))=$C108,0,1))&gt;0,"Članovi ekipe nisu iz iste uzrasne grupe",IF(COUNTA($F108,$I108,$L108,$O108)&lt;&gt;COUNTA($E108,$H108,$K108,$N108),"Za svakog člana potrebni su i godište i ime",IF(IF(SUMPRODUCT(--ISERROR(FIND(MID($F108&amp;REPT("a",60),ROW($A$1:$A$60),1),"ABCDEFGHIJKLMNOPQRSTUVWXYZabcdefghijklmnopqrstuvwxyzČĆĐŠŽčćđšž -'")))=0,0,1)+IF(SUMPRODUCT(--ISERROR(FIND(MID($I108&amp;REPT("a",60),ROW($A$1:$A$60),1),"ABCDEFGHIJKLMNOPQRSTUVWXYZabcdefghijklmnopqrstuvwxyzČĆĐŠŽčćđšž -'")))=0,0,1)+IF(SUMPRODUCT(--ISERROR(FIND(MID($L108&amp;REPT("a",60),ROW($A$1:$A$60),1),"ABCDEFGHIJKLMNOPQRSTUVWXYZabcdefghijklmnopqrstuvwxyzČĆĐŠŽčćđšž -'")))=0,0,1)+IF(SUMPRODUCT(--ISERROR(FIND(MID($O108&amp;REPT("a",60),ROW($A$1:$A$60),1),"ABCDEFGHIJKLMNOPQRSTUVWXYZabcdefghijklmnopqrstuvwxyzČĆĐŠŽčćđšž -'")))=0,0,1)&gt;0,"Ime sadrži znakove koji nisu slova",IF(COUNTA($G108,$J108,$M108,$P108)&lt;&gt;COUNTA($F108,$I108,$L108,$O108),"Nedostaje pol za nekog od članova",IF(COUNTA($F108,$I108,$L108,$O108)&lt;VLOOKUP($A108,ekipe,2,FALSE),"Ekipa mora imati najmanje "&amp;VLOOKUP($A108,ekipe,2,FALSE)&amp;" člana",IF(COUNTA($F108,$I108,$L108,$O108)&gt;VLOOKUP($A108,ekipe,3,FALSE),"Ekipa može imati najviše "&amp;VLOOKUP($A108,ekipe,3,FALSE)&amp;" člana",IF($B108="","Nedostaje vrsta ekipe","prijava je kompletna")))))))))))</f>
        <v/>
      </c>
      <c r="R108">
        <f>IF($C108="","sve_ekipne","tdisc_"&amp;$C108)</f>
        <v/>
      </c>
    </row>
    <row r="109" spans="1:18">
      <c r="A109" s="5"/>
      <c r="B109" s="5"/>
      <c r="C109" s="7">
        <f>IF($E109="","",LOOKUP($E109,INDEX(grupe,0,1),INDEX(grupe,0,2)))</f>
        <v/>
      </c>
      <c r="D109" s="7">
        <f>IF($C109="","",VLOOKUP($C109,INDEX(grupe,0,2):INDEX(grupe,0,3),2,FALSE))</f>
        <v/>
      </c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8">
        <f>IF(COUNTA($A109:$B109,$E109,$H109,$K109,$N109,$F109,$I109,$L109,$O109)=0,"",IF($A109="","Nedostaje disciplina",IF($E109="","Nedostaje godište prvog člana",IF($C109="","Godište nije obuhvaćeno uzrasnom tabelom",IF(COUNTIF(INDIRECT("tdisc_"&amp;$C109),$A109)=0,"Disciplina nije moguća za uzrast "&amp;$C109,IF(IF($E109="",0,IF(LOOKUP($E109,INDEX(grupe,0,1),INDEX(grupe,0,2))=$C109,0,1))+IF($H109="",0,IF(LOOKUP($H109,INDEX(grupe,0,1),INDEX(grupe,0,2))=$C109,0,1))+IF($K109="",0,IF(LOOKUP($K109,INDEX(grupe,0,1),INDEX(grupe,0,2))=$C109,0,1))+IF($N109="",0,IF(LOOKUP($N109,INDEX(grupe,0,1),INDEX(grupe,0,2))=$C109,0,1))&gt;0,"Članovi ekipe nisu iz iste uzrasne grupe",IF(COUNTA($F109,$I109,$L109,$O109)&lt;&gt;COUNTA($E109,$H109,$K109,$N109),"Za svakog člana potrebni su i godište i ime",IF(IF(SUMPRODUCT(--ISERROR(FIND(MID($F109&amp;REPT("a",60),ROW($A$1:$A$60),1),"ABCDEFGHIJKLMNOPQRSTUVWXYZabcdefghijklmnopqrstuvwxyzČĆĐŠŽčćđšž -'")))=0,0,1)+IF(SUMPRODUCT(--ISERROR(FIND(MID($I109&amp;REPT("a",60),ROW($A$1:$A$60),1),"ABCDEFGHIJKLMNOPQRSTUVWXYZabcdefghijklmnopqrstuvwxyzČĆĐŠŽčćđšž -'")))=0,0,1)+IF(SUMPRODUCT(--ISERROR(FIND(MID($L109&amp;REPT("a",60),ROW($A$1:$A$60),1),"ABCDEFGHIJKLMNOPQRSTUVWXYZabcdefghijklmnopqrstuvwxyzČĆĐŠŽčćđšž -'")))=0,0,1)+IF(SUMPRODUCT(--ISERROR(FIND(MID($O109&amp;REPT("a",60),ROW($A$1:$A$60),1),"ABCDEFGHIJKLMNOPQRSTUVWXYZabcdefghijklmnopqrstuvwxyzČĆĐŠŽčćđšž -'")))=0,0,1)&gt;0,"Ime sadrži znakove koji nisu slova",IF(COUNTA($G109,$J109,$M109,$P109)&lt;&gt;COUNTA($F109,$I109,$L109,$O109),"Nedostaje pol za nekog od članova",IF(COUNTA($F109,$I109,$L109,$O109)&lt;VLOOKUP($A109,ekipe,2,FALSE),"Ekipa mora imati najmanje "&amp;VLOOKUP($A109,ekipe,2,FALSE)&amp;" člana",IF(COUNTA($F109,$I109,$L109,$O109)&gt;VLOOKUP($A109,ekipe,3,FALSE),"Ekipa može imati najviše "&amp;VLOOKUP($A109,ekipe,3,FALSE)&amp;" člana",IF($B109="","Nedostaje vrsta ekipe","prijava je kompletna")))))))))))</f>
        <v/>
      </c>
      <c r="R109">
        <f>IF($C109="","sve_ekipne","tdisc_"&amp;$C109)</f>
        <v/>
      </c>
    </row>
    <row r="110" spans="1:18">
      <c r="A110" s="5"/>
      <c r="B110" s="5"/>
      <c r="C110" s="7">
        <f>IF($E110="","",LOOKUP($E110,INDEX(grupe,0,1),INDEX(grupe,0,2)))</f>
        <v/>
      </c>
      <c r="D110" s="7">
        <f>IF($C110="","",VLOOKUP($C110,INDEX(grupe,0,2):INDEX(grupe,0,3),2,FALSE))</f>
        <v/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8">
        <f>IF(COUNTA($A110:$B110,$E110,$H110,$K110,$N110,$F110,$I110,$L110,$O110)=0,"",IF($A110="","Nedostaje disciplina",IF($E110="","Nedostaje godište prvog člana",IF($C110="","Godište nije obuhvaćeno uzrasnom tabelom",IF(COUNTIF(INDIRECT("tdisc_"&amp;$C110),$A110)=0,"Disciplina nije moguća za uzrast "&amp;$C110,IF(IF($E110="",0,IF(LOOKUP($E110,INDEX(grupe,0,1),INDEX(grupe,0,2))=$C110,0,1))+IF($H110="",0,IF(LOOKUP($H110,INDEX(grupe,0,1),INDEX(grupe,0,2))=$C110,0,1))+IF($K110="",0,IF(LOOKUP($K110,INDEX(grupe,0,1),INDEX(grupe,0,2))=$C110,0,1))+IF($N110="",0,IF(LOOKUP($N110,INDEX(grupe,0,1),INDEX(grupe,0,2))=$C110,0,1))&gt;0,"Članovi ekipe nisu iz iste uzrasne grupe",IF(COUNTA($F110,$I110,$L110,$O110)&lt;&gt;COUNTA($E110,$H110,$K110,$N110),"Za svakog člana potrebni su i godište i ime",IF(IF(SUMPRODUCT(--ISERROR(FIND(MID($F110&amp;REPT("a",60),ROW($A$1:$A$60),1),"ABCDEFGHIJKLMNOPQRSTUVWXYZabcdefghijklmnopqrstuvwxyzČĆĐŠŽčćđšž -'")))=0,0,1)+IF(SUMPRODUCT(--ISERROR(FIND(MID($I110&amp;REPT("a",60),ROW($A$1:$A$60),1),"ABCDEFGHIJKLMNOPQRSTUVWXYZabcdefghijklmnopqrstuvwxyzČĆĐŠŽčćđšž -'")))=0,0,1)+IF(SUMPRODUCT(--ISERROR(FIND(MID($L110&amp;REPT("a",60),ROW($A$1:$A$60),1),"ABCDEFGHIJKLMNOPQRSTUVWXYZabcdefghijklmnopqrstuvwxyzČĆĐŠŽčćđšž -'")))=0,0,1)+IF(SUMPRODUCT(--ISERROR(FIND(MID($O110&amp;REPT("a",60),ROW($A$1:$A$60),1),"ABCDEFGHIJKLMNOPQRSTUVWXYZabcdefghijklmnopqrstuvwxyzČĆĐŠŽčćđšž -'")))=0,0,1)&gt;0,"Ime sadrži znakove koji nisu slova",IF(COUNTA($G110,$J110,$M110,$P110)&lt;&gt;COUNTA($F110,$I110,$L110,$O110),"Nedostaje pol za nekog od članova",IF(COUNTA($F110,$I110,$L110,$O110)&lt;VLOOKUP($A110,ekipe,2,FALSE),"Ekipa mora imati najmanje "&amp;VLOOKUP($A110,ekipe,2,FALSE)&amp;" člana",IF(COUNTA($F110,$I110,$L110,$O110)&gt;VLOOKUP($A110,ekipe,3,FALSE),"Ekipa može imati najviše "&amp;VLOOKUP($A110,ekipe,3,FALSE)&amp;" člana",IF($B110="","Nedostaje vrsta ekipe","prijava je kompletna")))))))))))</f>
        <v/>
      </c>
      <c r="R110">
        <f>IF($C110="","sve_ekipne","tdisc_"&amp;$C110)</f>
        <v/>
      </c>
    </row>
    <row r="111" spans="1:18">
      <c r="A111" s="5"/>
      <c r="B111" s="5"/>
      <c r="C111" s="7">
        <f>IF($E111="","",LOOKUP($E111,INDEX(grupe,0,1),INDEX(grupe,0,2)))</f>
        <v/>
      </c>
      <c r="D111" s="7">
        <f>IF($C111="","",VLOOKUP($C111,INDEX(grupe,0,2):INDEX(grupe,0,3),2,FALSE))</f>
        <v/>
      </c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8">
        <f>IF(COUNTA($A111:$B111,$E111,$H111,$K111,$N111,$F111,$I111,$L111,$O111)=0,"",IF($A111="","Nedostaje disciplina",IF($E111="","Nedostaje godište prvog člana",IF($C111="","Godište nije obuhvaćeno uzrasnom tabelom",IF(COUNTIF(INDIRECT("tdisc_"&amp;$C111),$A111)=0,"Disciplina nije moguća za uzrast "&amp;$C111,IF(IF($E111="",0,IF(LOOKUP($E111,INDEX(grupe,0,1),INDEX(grupe,0,2))=$C111,0,1))+IF($H111="",0,IF(LOOKUP($H111,INDEX(grupe,0,1),INDEX(grupe,0,2))=$C111,0,1))+IF($K111="",0,IF(LOOKUP($K111,INDEX(grupe,0,1),INDEX(grupe,0,2))=$C111,0,1))+IF($N111="",0,IF(LOOKUP($N111,INDEX(grupe,0,1),INDEX(grupe,0,2))=$C111,0,1))&gt;0,"Članovi ekipe nisu iz iste uzrasne grupe",IF(COUNTA($F111,$I111,$L111,$O111)&lt;&gt;COUNTA($E111,$H111,$K111,$N111),"Za svakog člana potrebni su i godište i ime",IF(IF(SUMPRODUCT(--ISERROR(FIND(MID($F111&amp;REPT("a",60),ROW($A$1:$A$60),1),"ABCDEFGHIJKLMNOPQRSTUVWXYZabcdefghijklmnopqrstuvwxyzČĆĐŠŽčćđšž -'")))=0,0,1)+IF(SUMPRODUCT(--ISERROR(FIND(MID($I111&amp;REPT("a",60),ROW($A$1:$A$60),1),"ABCDEFGHIJKLMNOPQRSTUVWXYZabcdefghijklmnopqrstuvwxyzČĆĐŠŽčćđšž -'")))=0,0,1)+IF(SUMPRODUCT(--ISERROR(FIND(MID($L111&amp;REPT("a",60),ROW($A$1:$A$60),1),"ABCDEFGHIJKLMNOPQRSTUVWXYZabcdefghijklmnopqrstuvwxyzČĆĐŠŽčćđšž -'")))=0,0,1)+IF(SUMPRODUCT(--ISERROR(FIND(MID($O111&amp;REPT("a",60),ROW($A$1:$A$60),1),"ABCDEFGHIJKLMNOPQRSTUVWXYZabcdefghijklmnopqrstuvwxyzČĆĐŠŽčćđšž -'")))=0,0,1)&gt;0,"Ime sadrži znakove koji nisu slova",IF(COUNTA($G111,$J111,$M111,$P111)&lt;&gt;COUNTA($F111,$I111,$L111,$O111),"Nedostaje pol za nekog od članova",IF(COUNTA($F111,$I111,$L111,$O111)&lt;VLOOKUP($A111,ekipe,2,FALSE),"Ekipa mora imati najmanje "&amp;VLOOKUP($A111,ekipe,2,FALSE)&amp;" člana",IF(COUNTA($F111,$I111,$L111,$O111)&gt;VLOOKUP($A111,ekipe,3,FALSE),"Ekipa može imati najviše "&amp;VLOOKUP($A111,ekipe,3,FALSE)&amp;" člana",IF($B111="","Nedostaje vrsta ekipe","prijava je kompletna")))))))))))</f>
        <v/>
      </c>
      <c r="R111">
        <f>IF($C111="","sve_ekipne","tdisc_"&amp;$C111)</f>
        <v/>
      </c>
    </row>
    <row r="112" spans="1:18">
      <c r="A112" s="5"/>
      <c r="B112" s="5"/>
      <c r="C112" s="7">
        <f>IF($E112="","",LOOKUP($E112,INDEX(grupe,0,1),INDEX(grupe,0,2)))</f>
        <v/>
      </c>
      <c r="D112" s="7">
        <f>IF($C112="","",VLOOKUP($C112,INDEX(grupe,0,2):INDEX(grupe,0,3),2,FALSE))</f>
        <v/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8">
        <f>IF(COUNTA($A112:$B112,$E112,$H112,$K112,$N112,$F112,$I112,$L112,$O112)=0,"",IF($A112="","Nedostaje disciplina",IF($E112="","Nedostaje godište prvog člana",IF($C112="","Godište nije obuhvaćeno uzrasnom tabelom",IF(COUNTIF(INDIRECT("tdisc_"&amp;$C112),$A112)=0,"Disciplina nije moguća za uzrast "&amp;$C112,IF(IF($E112="",0,IF(LOOKUP($E112,INDEX(grupe,0,1),INDEX(grupe,0,2))=$C112,0,1))+IF($H112="",0,IF(LOOKUP($H112,INDEX(grupe,0,1),INDEX(grupe,0,2))=$C112,0,1))+IF($K112="",0,IF(LOOKUP($K112,INDEX(grupe,0,1),INDEX(grupe,0,2))=$C112,0,1))+IF($N112="",0,IF(LOOKUP($N112,INDEX(grupe,0,1),INDEX(grupe,0,2))=$C112,0,1))&gt;0,"Članovi ekipe nisu iz iste uzrasne grupe",IF(COUNTA($F112,$I112,$L112,$O112)&lt;&gt;COUNTA($E112,$H112,$K112,$N112),"Za svakog člana potrebni su i godište i ime",IF(IF(SUMPRODUCT(--ISERROR(FIND(MID($F112&amp;REPT("a",60),ROW($A$1:$A$60),1),"ABCDEFGHIJKLMNOPQRSTUVWXYZabcdefghijklmnopqrstuvwxyzČĆĐŠŽčćđšž -'")))=0,0,1)+IF(SUMPRODUCT(--ISERROR(FIND(MID($I112&amp;REPT("a",60),ROW($A$1:$A$60),1),"ABCDEFGHIJKLMNOPQRSTUVWXYZabcdefghijklmnopqrstuvwxyzČĆĐŠŽčćđšž -'")))=0,0,1)+IF(SUMPRODUCT(--ISERROR(FIND(MID($L112&amp;REPT("a",60),ROW($A$1:$A$60),1),"ABCDEFGHIJKLMNOPQRSTUVWXYZabcdefghijklmnopqrstuvwxyzČĆĐŠŽčćđšž -'")))=0,0,1)+IF(SUMPRODUCT(--ISERROR(FIND(MID($O112&amp;REPT("a",60),ROW($A$1:$A$60),1),"ABCDEFGHIJKLMNOPQRSTUVWXYZabcdefghijklmnopqrstuvwxyzČĆĐŠŽčćđšž -'")))=0,0,1)&gt;0,"Ime sadrži znakove koji nisu slova",IF(COUNTA($G112,$J112,$M112,$P112)&lt;&gt;COUNTA($F112,$I112,$L112,$O112),"Nedostaje pol za nekog od članova",IF(COUNTA($F112,$I112,$L112,$O112)&lt;VLOOKUP($A112,ekipe,2,FALSE),"Ekipa mora imati najmanje "&amp;VLOOKUP($A112,ekipe,2,FALSE)&amp;" člana",IF(COUNTA($F112,$I112,$L112,$O112)&gt;VLOOKUP($A112,ekipe,3,FALSE),"Ekipa može imati najviše "&amp;VLOOKUP($A112,ekipe,3,FALSE)&amp;" člana",IF($B112="","Nedostaje vrsta ekipe","prijava je kompletna")))))))))))</f>
        <v/>
      </c>
      <c r="R112">
        <f>IF($C112="","sve_ekipne","tdisc_"&amp;$C112)</f>
        <v/>
      </c>
    </row>
    <row r="113" spans="1:18">
      <c r="A113" s="5"/>
      <c r="B113" s="5"/>
      <c r="C113" s="7">
        <f>IF($E113="","",LOOKUP($E113,INDEX(grupe,0,1),INDEX(grupe,0,2)))</f>
        <v/>
      </c>
      <c r="D113" s="7">
        <f>IF($C113="","",VLOOKUP($C113,INDEX(grupe,0,2):INDEX(grupe,0,3),2,FALSE))</f>
        <v/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8">
        <f>IF(COUNTA($A113:$B113,$E113,$H113,$K113,$N113,$F113,$I113,$L113,$O113)=0,"",IF($A113="","Nedostaje disciplina",IF($E113="","Nedostaje godište prvog člana",IF($C113="","Godište nije obuhvaćeno uzrasnom tabelom",IF(COUNTIF(INDIRECT("tdisc_"&amp;$C113),$A113)=0,"Disciplina nije moguća za uzrast "&amp;$C113,IF(IF($E113="",0,IF(LOOKUP($E113,INDEX(grupe,0,1),INDEX(grupe,0,2))=$C113,0,1))+IF($H113="",0,IF(LOOKUP($H113,INDEX(grupe,0,1),INDEX(grupe,0,2))=$C113,0,1))+IF($K113="",0,IF(LOOKUP($K113,INDEX(grupe,0,1),INDEX(grupe,0,2))=$C113,0,1))+IF($N113="",0,IF(LOOKUP($N113,INDEX(grupe,0,1),INDEX(grupe,0,2))=$C113,0,1))&gt;0,"Članovi ekipe nisu iz iste uzrasne grupe",IF(COUNTA($F113,$I113,$L113,$O113)&lt;&gt;COUNTA($E113,$H113,$K113,$N113),"Za svakog člana potrebni su i godište i ime",IF(IF(SUMPRODUCT(--ISERROR(FIND(MID($F113&amp;REPT("a",60),ROW($A$1:$A$60),1),"ABCDEFGHIJKLMNOPQRSTUVWXYZabcdefghijklmnopqrstuvwxyzČĆĐŠŽčćđšž -'")))=0,0,1)+IF(SUMPRODUCT(--ISERROR(FIND(MID($I113&amp;REPT("a",60),ROW($A$1:$A$60),1),"ABCDEFGHIJKLMNOPQRSTUVWXYZabcdefghijklmnopqrstuvwxyzČĆĐŠŽčćđšž -'")))=0,0,1)+IF(SUMPRODUCT(--ISERROR(FIND(MID($L113&amp;REPT("a",60),ROW($A$1:$A$60),1),"ABCDEFGHIJKLMNOPQRSTUVWXYZabcdefghijklmnopqrstuvwxyzČĆĐŠŽčćđšž -'")))=0,0,1)+IF(SUMPRODUCT(--ISERROR(FIND(MID($O113&amp;REPT("a",60),ROW($A$1:$A$60),1),"ABCDEFGHIJKLMNOPQRSTUVWXYZabcdefghijklmnopqrstuvwxyzČĆĐŠŽčćđšž -'")))=0,0,1)&gt;0,"Ime sadrži znakove koji nisu slova",IF(COUNTA($G113,$J113,$M113,$P113)&lt;&gt;COUNTA($F113,$I113,$L113,$O113),"Nedostaje pol za nekog od članova",IF(COUNTA($F113,$I113,$L113,$O113)&lt;VLOOKUP($A113,ekipe,2,FALSE),"Ekipa mora imati najmanje "&amp;VLOOKUP($A113,ekipe,2,FALSE)&amp;" člana",IF(COUNTA($F113,$I113,$L113,$O113)&gt;VLOOKUP($A113,ekipe,3,FALSE),"Ekipa može imati najviše "&amp;VLOOKUP($A113,ekipe,3,FALSE)&amp;" člana",IF($B113="","Nedostaje vrsta ekipe","prijava je kompletna")))))))))))</f>
        <v/>
      </c>
      <c r="R113">
        <f>IF($C113="","sve_ekipne","tdisc_"&amp;$C113)</f>
        <v/>
      </c>
    </row>
    <row r="114" spans="1:18">
      <c r="A114" s="5"/>
      <c r="B114" s="5"/>
      <c r="C114" s="7">
        <f>IF($E114="","",LOOKUP($E114,INDEX(grupe,0,1),INDEX(grupe,0,2)))</f>
        <v/>
      </c>
      <c r="D114" s="7">
        <f>IF($C114="","",VLOOKUP($C114,INDEX(grupe,0,2):INDEX(grupe,0,3),2,FALSE))</f>
        <v/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8">
        <f>IF(COUNTA($A114:$B114,$E114,$H114,$K114,$N114,$F114,$I114,$L114,$O114)=0,"",IF($A114="","Nedostaje disciplina",IF($E114="","Nedostaje godište prvog člana",IF($C114="","Godište nije obuhvaćeno uzrasnom tabelom",IF(COUNTIF(INDIRECT("tdisc_"&amp;$C114),$A114)=0,"Disciplina nije moguća za uzrast "&amp;$C114,IF(IF($E114="",0,IF(LOOKUP($E114,INDEX(grupe,0,1),INDEX(grupe,0,2))=$C114,0,1))+IF($H114="",0,IF(LOOKUP($H114,INDEX(grupe,0,1),INDEX(grupe,0,2))=$C114,0,1))+IF($K114="",0,IF(LOOKUP($K114,INDEX(grupe,0,1),INDEX(grupe,0,2))=$C114,0,1))+IF($N114="",0,IF(LOOKUP($N114,INDEX(grupe,0,1),INDEX(grupe,0,2))=$C114,0,1))&gt;0,"Članovi ekipe nisu iz iste uzrasne grupe",IF(COUNTA($F114,$I114,$L114,$O114)&lt;&gt;COUNTA($E114,$H114,$K114,$N114),"Za svakog člana potrebni su i godište i ime",IF(IF(SUMPRODUCT(--ISERROR(FIND(MID($F114&amp;REPT("a",60),ROW($A$1:$A$60),1),"ABCDEFGHIJKLMNOPQRSTUVWXYZabcdefghijklmnopqrstuvwxyzČĆĐŠŽčćđšž -'")))=0,0,1)+IF(SUMPRODUCT(--ISERROR(FIND(MID($I114&amp;REPT("a",60),ROW($A$1:$A$60),1),"ABCDEFGHIJKLMNOPQRSTUVWXYZabcdefghijklmnopqrstuvwxyzČĆĐŠŽčćđšž -'")))=0,0,1)+IF(SUMPRODUCT(--ISERROR(FIND(MID($L114&amp;REPT("a",60),ROW($A$1:$A$60),1),"ABCDEFGHIJKLMNOPQRSTUVWXYZabcdefghijklmnopqrstuvwxyzČĆĐŠŽčćđšž -'")))=0,0,1)+IF(SUMPRODUCT(--ISERROR(FIND(MID($O114&amp;REPT("a",60),ROW($A$1:$A$60),1),"ABCDEFGHIJKLMNOPQRSTUVWXYZabcdefghijklmnopqrstuvwxyzČĆĐŠŽčćđšž -'")))=0,0,1)&gt;0,"Ime sadrži znakove koji nisu slova",IF(COUNTA($G114,$J114,$M114,$P114)&lt;&gt;COUNTA($F114,$I114,$L114,$O114),"Nedostaje pol za nekog od članova",IF(COUNTA($F114,$I114,$L114,$O114)&lt;VLOOKUP($A114,ekipe,2,FALSE),"Ekipa mora imati najmanje "&amp;VLOOKUP($A114,ekipe,2,FALSE)&amp;" člana",IF(COUNTA($F114,$I114,$L114,$O114)&gt;VLOOKUP($A114,ekipe,3,FALSE),"Ekipa može imati najviše "&amp;VLOOKUP($A114,ekipe,3,FALSE)&amp;" člana",IF($B114="","Nedostaje vrsta ekipe","prijava je kompletna")))))))))))</f>
        <v/>
      </c>
      <c r="R114">
        <f>IF($C114="","sve_ekipne","tdisc_"&amp;$C114)</f>
        <v/>
      </c>
    </row>
    <row r="115" spans="1:18">
      <c r="A115" s="5"/>
      <c r="B115" s="5"/>
      <c r="C115" s="7">
        <f>IF($E115="","",LOOKUP($E115,INDEX(grupe,0,1),INDEX(grupe,0,2)))</f>
        <v/>
      </c>
      <c r="D115" s="7">
        <f>IF($C115="","",VLOOKUP($C115,INDEX(grupe,0,2):INDEX(grupe,0,3),2,FALSE))</f>
        <v/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8">
        <f>IF(COUNTA($A115:$B115,$E115,$H115,$K115,$N115,$F115,$I115,$L115,$O115)=0,"",IF($A115="","Nedostaje disciplina",IF($E115="","Nedostaje godište prvog člana",IF($C115="","Godište nije obuhvaćeno uzrasnom tabelom",IF(COUNTIF(INDIRECT("tdisc_"&amp;$C115),$A115)=0,"Disciplina nije moguća za uzrast "&amp;$C115,IF(IF($E115="",0,IF(LOOKUP($E115,INDEX(grupe,0,1),INDEX(grupe,0,2))=$C115,0,1))+IF($H115="",0,IF(LOOKUP($H115,INDEX(grupe,0,1),INDEX(grupe,0,2))=$C115,0,1))+IF($K115="",0,IF(LOOKUP($K115,INDEX(grupe,0,1),INDEX(grupe,0,2))=$C115,0,1))+IF($N115="",0,IF(LOOKUP($N115,INDEX(grupe,0,1),INDEX(grupe,0,2))=$C115,0,1))&gt;0,"Članovi ekipe nisu iz iste uzrasne grupe",IF(COUNTA($F115,$I115,$L115,$O115)&lt;&gt;COUNTA($E115,$H115,$K115,$N115),"Za svakog člana potrebni su i godište i ime",IF(IF(SUMPRODUCT(--ISERROR(FIND(MID($F115&amp;REPT("a",60),ROW($A$1:$A$60),1),"ABCDEFGHIJKLMNOPQRSTUVWXYZabcdefghijklmnopqrstuvwxyzČĆĐŠŽčćđšž -'")))=0,0,1)+IF(SUMPRODUCT(--ISERROR(FIND(MID($I115&amp;REPT("a",60),ROW($A$1:$A$60),1),"ABCDEFGHIJKLMNOPQRSTUVWXYZabcdefghijklmnopqrstuvwxyzČĆĐŠŽčćđšž -'")))=0,0,1)+IF(SUMPRODUCT(--ISERROR(FIND(MID($L115&amp;REPT("a",60),ROW($A$1:$A$60),1),"ABCDEFGHIJKLMNOPQRSTUVWXYZabcdefghijklmnopqrstuvwxyzČĆĐŠŽčćđšž -'")))=0,0,1)+IF(SUMPRODUCT(--ISERROR(FIND(MID($O115&amp;REPT("a",60),ROW($A$1:$A$60),1),"ABCDEFGHIJKLMNOPQRSTUVWXYZabcdefghijklmnopqrstuvwxyzČĆĐŠŽčćđšž -'")))=0,0,1)&gt;0,"Ime sadrži znakove koji nisu slova",IF(COUNTA($G115,$J115,$M115,$P115)&lt;&gt;COUNTA($F115,$I115,$L115,$O115),"Nedostaje pol za nekog od članova",IF(COUNTA($F115,$I115,$L115,$O115)&lt;VLOOKUP($A115,ekipe,2,FALSE),"Ekipa mora imati najmanje "&amp;VLOOKUP($A115,ekipe,2,FALSE)&amp;" člana",IF(COUNTA($F115,$I115,$L115,$O115)&gt;VLOOKUP($A115,ekipe,3,FALSE),"Ekipa može imati najviše "&amp;VLOOKUP($A115,ekipe,3,FALSE)&amp;" člana",IF($B115="","Nedostaje vrsta ekipe","prijava je kompletna")))))))))))</f>
        <v/>
      </c>
      <c r="R115">
        <f>IF($C115="","sve_ekipne","tdisc_"&amp;$C115)</f>
        <v/>
      </c>
    </row>
    <row r="116" spans="1:18">
      <c r="A116" s="5"/>
      <c r="B116" s="5"/>
      <c r="C116" s="7">
        <f>IF($E116="","",LOOKUP($E116,INDEX(grupe,0,1),INDEX(grupe,0,2)))</f>
        <v/>
      </c>
      <c r="D116" s="7">
        <f>IF($C116="","",VLOOKUP($C116,INDEX(grupe,0,2):INDEX(grupe,0,3),2,FALSE))</f>
        <v/>
      </c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8">
        <f>IF(COUNTA($A116:$B116,$E116,$H116,$K116,$N116,$F116,$I116,$L116,$O116)=0,"",IF($A116="","Nedostaje disciplina",IF($E116="","Nedostaje godište prvog člana",IF($C116="","Godište nije obuhvaćeno uzrasnom tabelom",IF(COUNTIF(INDIRECT("tdisc_"&amp;$C116),$A116)=0,"Disciplina nije moguća za uzrast "&amp;$C116,IF(IF($E116="",0,IF(LOOKUP($E116,INDEX(grupe,0,1),INDEX(grupe,0,2))=$C116,0,1))+IF($H116="",0,IF(LOOKUP($H116,INDEX(grupe,0,1),INDEX(grupe,0,2))=$C116,0,1))+IF($K116="",0,IF(LOOKUP($K116,INDEX(grupe,0,1),INDEX(grupe,0,2))=$C116,0,1))+IF($N116="",0,IF(LOOKUP($N116,INDEX(grupe,0,1),INDEX(grupe,0,2))=$C116,0,1))&gt;0,"Članovi ekipe nisu iz iste uzrasne grupe",IF(COUNTA($F116,$I116,$L116,$O116)&lt;&gt;COUNTA($E116,$H116,$K116,$N116),"Za svakog člana potrebni su i godište i ime",IF(IF(SUMPRODUCT(--ISERROR(FIND(MID($F116&amp;REPT("a",60),ROW($A$1:$A$60),1),"ABCDEFGHIJKLMNOPQRSTUVWXYZabcdefghijklmnopqrstuvwxyzČĆĐŠŽčćđšž -'")))=0,0,1)+IF(SUMPRODUCT(--ISERROR(FIND(MID($I116&amp;REPT("a",60),ROW($A$1:$A$60),1),"ABCDEFGHIJKLMNOPQRSTUVWXYZabcdefghijklmnopqrstuvwxyzČĆĐŠŽčćđšž -'")))=0,0,1)+IF(SUMPRODUCT(--ISERROR(FIND(MID($L116&amp;REPT("a",60),ROW($A$1:$A$60),1),"ABCDEFGHIJKLMNOPQRSTUVWXYZabcdefghijklmnopqrstuvwxyzČĆĐŠŽčćđšž -'")))=0,0,1)+IF(SUMPRODUCT(--ISERROR(FIND(MID($O116&amp;REPT("a",60),ROW($A$1:$A$60),1),"ABCDEFGHIJKLMNOPQRSTUVWXYZabcdefghijklmnopqrstuvwxyzČĆĐŠŽčćđšž -'")))=0,0,1)&gt;0,"Ime sadrži znakove koji nisu slova",IF(COUNTA($G116,$J116,$M116,$P116)&lt;&gt;COUNTA($F116,$I116,$L116,$O116),"Nedostaje pol za nekog od članova",IF(COUNTA($F116,$I116,$L116,$O116)&lt;VLOOKUP($A116,ekipe,2,FALSE),"Ekipa mora imati najmanje "&amp;VLOOKUP($A116,ekipe,2,FALSE)&amp;" člana",IF(COUNTA($F116,$I116,$L116,$O116)&gt;VLOOKUP($A116,ekipe,3,FALSE),"Ekipa može imati najviše "&amp;VLOOKUP($A116,ekipe,3,FALSE)&amp;" člana",IF($B116="","Nedostaje vrsta ekipe","prijava je kompletna")))))))))))</f>
        <v/>
      </c>
      <c r="R116">
        <f>IF($C116="","sve_ekipne","tdisc_"&amp;$C116)</f>
        <v/>
      </c>
    </row>
    <row r="117" spans="1:18">
      <c r="A117" s="5"/>
      <c r="B117" s="5"/>
      <c r="C117" s="7">
        <f>IF($E117="","",LOOKUP($E117,INDEX(grupe,0,1),INDEX(grupe,0,2)))</f>
        <v/>
      </c>
      <c r="D117" s="7">
        <f>IF($C117="","",VLOOKUP($C117,INDEX(grupe,0,2):INDEX(grupe,0,3),2,FALSE))</f>
        <v/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8">
        <f>IF(COUNTA($A117:$B117,$E117,$H117,$K117,$N117,$F117,$I117,$L117,$O117)=0,"",IF($A117="","Nedostaje disciplina",IF($E117="","Nedostaje godište prvog člana",IF($C117="","Godište nije obuhvaćeno uzrasnom tabelom",IF(COUNTIF(INDIRECT("tdisc_"&amp;$C117),$A117)=0,"Disciplina nije moguća za uzrast "&amp;$C117,IF(IF($E117="",0,IF(LOOKUP($E117,INDEX(grupe,0,1),INDEX(grupe,0,2))=$C117,0,1))+IF($H117="",0,IF(LOOKUP($H117,INDEX(grupe,0,1),INDEX(grupe,0,2))=$C117,0,1))+IF($K117="",0,IF(LOOKUP($K117,INDEX(grupe,0,1),INDEX(grupe,0,2))=$C117,0,1))+IF($N117="",0,IF(LOOKUP($N117,INDEX(grupe,0,1),INDEX(grupe,0,2))=$C117,0,1))&gt;0,"Članovi ekipe nisu iz iste uzrasne grupe",IF(COUNTA($F117,$I117,$L117,$O117)&lt;&gt;COUNTA($E117,$H117,$K117,$N117),"Za svakog člana potrebni su i godište i ime",IF(IF(SUMPRODUCT(--ISERROR(FIND(MID($F117&amp;REPT("a",60),ROW($A$1:$A$60),1),"ABCDEFGHIJKLMNOPQRSTUVWXYZabcdefghijklmnopqrstuvwxyzČĆĐŠŽčćđšž -'")))=0,0,1)+IF(SUMPRODUCT(--ISERROR(FIND(MID($I117&amp;REPT("a",60),ROW($A$1:$A$60),1),"ABCDEFGHIJKLMNOPQRSTUVWXYZabcdefghijklmnopqrstuvwxyzČĆĐŠŽčćđšž -'")))=0,0,1)+IF(SUMPRODUCT(--ISERROR(FIND(MID($L117&amp;REPT("a",60),ROW($A$1:$A$60),1),"ABCDEFGHIJKLMNOPQRSTUVWXYZabcdefghijklmnopqrstuvwxyzČĆĐŠŽčćđšž -'")))=0,0,1)+IF(SUMPRODUCT(--ISERROR(FIND(MID($O117&amp;REPT("a",60),ROW($A$1:$A$60),1),"ABCDEFGHIJKLMNOPQRSTUVWXYZabcdefghijklmnopqrstuvwxyzČĆĐŠŽčćđšž -'")))=0,0,1)&gt;0,"Ime sadrži znakove koji nisu slova",IF(COUNTA($G117,$J117,$M117,$P117)&lt;&gt;COUNTA($F117,$I117,$L117,$O117),"Nedostaje pol za nekog od članova",IF(COUNTA($F117,$I117,$L117,$O117)&lt;VLOOKUP($A117,ekipe,2,FALSE),"Ekipa mora imati najmanje "&amp;VLOOKUP($A117,ekipe,2,FALSE)&amp;" člana",IF(COUNTA($F117,$I117,$L117,$O117)&gt;VLOOKUP($A117,ekipe,3,FALSE),"Ekipa može imati najviše "&amp;VLOOKUP($A117,ekipe,3,FALSE)&amp;" člana",IF($B117="","Nedostaje vrsta ekipe","prijava je kompletna")))))))))))</f>
        <v/>
      </c>
      <c r="R117">
        <f>IF($C117="","sve_ekipne","tdisc_"&amp;$C117)</f>
        <v/>
      </c>
    </row>
    <row r="118" spans="1:18">
      <c r="A118" s="5"/>
      <c r="B118" s="5"/>
      <c r="C118" s="7">
        <f>IF($E118="","",LOOKUP($E118,INDEX(grupe,0,1),INDEX(grupe,0,2)))</f>
        <v/>
      </c>
      <c r="D118" s="7">
        <f>IF($C118="","",VLOOKUP($C118,INDEX(grupe,0,2):INDEX(grupe,0,3),2,FALSE))</f>
        <v/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8">
        <f>IF(COUNTA($A118:$B118,$E118,$H118,$K118,$N118,$F118,$I118,$L118,$O118)=0,"",IF($A118="","Nedostaje disciplina",IF($E118="","Nedostaje godište prvog člana",IF($C118="","Godište nije obuhvaćeno uzrasnom tabelom",IF(COUNTIF(INDIRECT("tdisc_"&amp;$C118),$A118)=0,"Disciplina nije moguća za uzrast "&amp;$C118,IF(IF($E118="",0,IF(LOOKUP($E118,INDEX(grupe,0,1),INDEX(grupe,0,2))=$C118,0,1))+IF($H118="",0,IF(LOOKUP($H118,INDEX(grupe,0,1),INDEX(grupe,0,2))=$C118,0,1))+IF($K118="",0,IF(LOOKUP($K118,INDEX(grupe,0,1),INDEX(grupe,0,2))=$C118,0,1))+IF($N118="",0,IF(LOOKUP($N118,INDEX(grupe,0,1),INDEX(grupe,0,2))=$C118,0,1))&gt;0,"Članovi ekipe nisu iz iste uzrasne grupe",IF(COUNTA($F118,$I118,$L118,$O118)&lt;&gt;COUNTA($E118,$H118,$K118,$N118),"Za svakog člana potrebni su i godište i ime",IF(IF(SUMPRODUCT(--ISERROR(FIND(MID($F118&amp;REPT("a",60),ROW($A$1:$A$60),1),"ABCDEFGHIJKLMNOPQRSTUVWXYZabcdefghijklmnopqrstuvwxyzČĆĐŠŽčćđšž -'")))=0,0,1)+IF(SUMPRODUCT(--ISERROR(FIND(MID($I118&amp;REPT("a",60),ROW($A$1:$A$60),1),"ABCDEFGHIJKLMNOPQRSTUVWXYZabcdefghijklmnopqrstuvwxyzČĆĐŠŽčćđšž -'")))=0,0,1)+IF(SUMPRODUCT(--ISERROR(FIND(MID($L118&amp;REPT("a",60),ROW($A$1:$A$60),1),"ABCDEFGHIJKLMNOPQRSTUVWXYZabcdefghijklmnopqrstuvwxyzČĆĐŠŽčćđšž -'")))=0,0,1)+IF(SUMPRODUCT(--ISERROR(FIND(MID($O118&amp;REPT("a",60),ROW($A$1:$A$60),1),"ABCDEFGHIJKLMNOPQRSTUVWXYZabcdefghijklmnopqrstuvwxyzČĆĐŠŽčćđšž -'")))=0,0,1)&gt;0,"Ime sadrži znakove koji nisu slova",IF(COUNTA($G118,$J118,$M118,$P118)&lt;&gt;COUNTA($F118,$I118,$L118,$O118),"Nedostaje pol za nekog od članova",IF(COUNTA($F118,$I118,$L118,$O118)&lt;VLOOKUP($A118,ekipe,2,FALSE),"Ekipa mora imati najmanje "&amp;VLOOKUP($A118,ekipe,2,FALSE)&amp;" člana",IF(COUNTA($F118,$I118,$L118,$O118)&gt;VLOOKUP($A118,ekipe,3,FALSE),"Ekipa može imati najviše "&amp;VLOOKUP($A118,ekipe,3,FALSE)&amp;" člana",IF($B118="","Nedostaje vrsta ekipe","prijava je kompletna")))))))))))</f>
        <v/>
      </c>
      <c r="R118">
        <f>IF($C118="","sve_ekipne","tdisc_"&amp;$C118)</f>
        <v/>
      </c>
    </row>
    <row r="119" spans="1:18">
      <c r="A119" s="5"/>
      <c r="B119" s="5"/>
      <c r="C119" s="7">
        <f>IF($E119="","",LOOKUP($E119,INDEX(grupe,0,1),INDEX(grupe,0,2)))</f>
        <v/>
      </c>
      <c r="D119" s="7">
        <f>IF($C119="","",VLOOKUP($C119,INDEX(grupe,0,2):INDEX(grupe,0,3),2,FALSE))</f>
        <v/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8">
        <f>IF(COUNTA($A119:$B119,$E119,$H119,$K119,$N119,$F119,$I119,$L119,$O119)=0,"",IF($A119="","Nedostaje disciplina",IF($E119="","Nedostaje godište prvog člana",IF($C119="","Godište nije obuhvaćeno uzrasnom tabelom",IF(COUNTIF(INDIRECT("tdisc_"&amp;$C119),$A119)=0,"Disciplina nije moguća za uzrast "&amp;$C119,IF(IF($E119="",0,IF(LOOKUP($E119,INDEX(grupe,0,1),INDEX(grupe,0,2))=$C119,0,1))+IF($H119="",0,IF(LOOKUP($H119,INDEX(grupe,0,1),INDEX(grupe,0,2))=$C119,0,1))+IF($K119="",0,IF(LOOKUP($K119,INDEX(grupe,0,1),INDEX(grupe,0,2))=$C119,0,1))+IF($N119="",0,IF(LOOKUP($N119,INDEX(grupe,0,1),INDEX(grupe,0,2))=$C119,0,1))&gt;0,"Članovi ekipe nisu iz iste uzrasne grupe",IF(COUNTA($F119,$I119,$L119,$O119)&lt;&gt;COUNTA($E119,$H119,$K119,$N119),"Za svakog člana potrebni su i godište i ime",IF(IF(SUMPRODUCT(--ISERROR(FIND(MID($F119&amp;REPT("a",60),ROW($A$1:$A$60),1),"ABCDEFGHIJKLMNOPQRSTUVWXYZabcdefghijklmnopqrstuvwxyzČĆĐŠŽčćđšž -'")))=0,0,1)+IF(SUMPRODUCT(--ISERROR(FIND(MID($I119&amp;REPT("a",60),ROW($A$1:$A$60),1),"ABCDEFGHIJKLMNOPQRSTUVWXYZabcdefghijklmnopqrstuvwxyzČĆĐŠŽčćđšž -'")))=0,0,1)+IF(SUMPRODUCT(--ISERROR(FIND(MID($L119&amp;REPT("a",60),ROW($A$1:$A$60),1),"ABCDEFGHIJKLMNOPQRSTUVWXYZabcdefghijklmnopqrstuvwxyzČĆĐŠŽčćđšž -'")))=0,0,1)+IF(SUMPRODUCT(--ISERROR(FIND(MID($O119&amp;REPT("a",60),ROW($A$1:$A$60),1),"ABCDEFGHIJKLMNOPQRSTUVWXYZabcdefghijklmnopqrstuvwxyzČĆĐŠŽčćđšž -'")))=0,0,1)&gt;0,"Ime sadrži znakove koji nisu slova",IF(COUNTA($G119,$J119,$M119,$P119)&lt;&gt;COUNTA($F119,$I119,$L119,$O119),"Nedostaje pol za nekog od članova",IF(COUNTA($F119,$I119,$L119,$O119)&lt;VLOOKUP($A119,ekipe,2,FALSE),"Ekipa mora imati najmanje "&amp;VLOOKUP($A119,ekipe,2,FALSE)&amp;" člana",IF(COUNTA($F119,$I119,$L119,$O119)&gt;VLOOKUP($A119,ekipe,3,FALSE),"Ekipa može imati najviše "&amp;VLOOKUP($A119,ekipe,3,FALSE)&amp;" člana",IF($B119="","Nedostaje vrsta ekipe","prijava je kompletna")))))))))))</f>
        <v/>
      </c>
      <c r="R119">
        <f>IF($C119="","sve_ekipne","tdisc_"&amp;$C119)</f>
        <v/>
      </c>
    </row>
    <row r="120" spans="1:18">
      <c r="A120" s="5"/>
      <c r="B120" s="5"/>
      <c r="C120" s="7">
        <f>IF($E120="","",LOOKUP($E120,INDEX(grupe,0,1),INDEX(grupe,0,2)))</f>
        <v/>
      </c>
      <c r="D120" s="7">
        <f>IF($C120="","",VLOOKUP($C120,INDEX(grupe,0,2):INDEX(grupe,0,3),2,FALSE))</f>
        <v/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8">
        <f>IF(COUNTA($A120:$B120,$E120,$H120,$K120,$N120,$F120,$I120,$L120,$O120)=0,"",IF($A120="","Nedostaje disciplina",IF($E120="","Nedostaje godište prvog člana",IF($C120="","Godište nije obuhvaćeno uzrasnom tabelom",IF(COUNTIF(INDIRECT("tdisc_"&amp;$C120),$A120)=0,"Disciplina nije moguća za uzrast "&amp;$C120,IF(IF($E120="",0,IF(LOOKUP($E120,INDEX(grupe,0,1),INDEX(grupe,0,2))=$C120,0,1))+IF($H120="",0,IF(LOOKUP($H120,INDEX(grupe,0,1),INDEX(grupe,0,2))=$C120,0,1))+IF($K120="",0,IF(LOOKUP($K120,INDEX(grupe,0,1),INDEX(grupe,0,2))=$C120,0,1))+IF($N120="",0,IF(LOOKUP($N120,INDEX(grupe,0,1),INDEX(grupe,0,2))=$C120,0,1))&gt;0,"Članovi ekipe nisu iz iste uzrasne grupe",IF(COUNTA($F120,$I120,$L120,$O120)&lt;&gt;COUNTA($E120,$H120,$K120,$N120),"Za svakog člana potrebni su i godište i ime",IF(IF(SUMPRODUCT(--ISERROR(FIND(MID($F120&amp;REPT("a",60),ROW($A$1:$A$60),1),"ABCDEFGHIJKLMNOPQRSTUVWXYZabcdefghijklmnopqrstuvwxyzČĆĐŠŽčćđšž -'")))=0,0,1)+IF(SUMPRODUCT(--ISERROR(FIND(MID($I120&amp;REPT("a",60),ROW($A$1:$A$60),1),"ABCDEFGHIJKLMNOPQRSTUVWXYZabcdefghijklmnopqrstuvwxyzČĆĐŠŽčćđšž -'")))=0,0,1)+IF(SUMPRODUCT(--ISERROR(FIND(MID($L120&amp;REPT("a",60),ROW($A$1:$A$60),1),"ABCDEFGHIJKLMNOPQRSTUVWXYZabcdefghijklmnopqrstuvwxyzČĆĐŠŽčćđšž -'")))=0,0,1)+IF(SUMPRODUCT(--ISERROR(FIND(MID($O120&amp;REPT("a",60),ROW($A$1:$A$60),1),"ABCDEFGHIJKLMNOPQRSTUVWXYZabcdefghijklmnopqrstuvwxyzČĆĐŠŽčćđšž -'")))=0,0,1)&gt;0,"Ime sadrži znakove koji nisu slova",IF(COUNTA($G120,$J120,$M120,$P120)&lt;&gt;COUNTA($F120,$I120,$L120,$O120),"Nedostaje pol za nekog od članova",IF(COUNTA($F120,$I120,$L120,$O120)&lt;VLOOKUP($A120,ekipe,2,FALSE),"Ekipa mora imati najmanje "&amp;VLOOKUP($A120,ekipe,2,FALSE)&amp;" člana",IF(COUNTA($F120,$I120,$L120,$O120)&gt;VLOOKUP($A120,ekipe,3,FALSE),"Ekipa može imati najviše "&amp;VLOOKUP($A120,ekipe,3,FALSE)&amp;" člana",IF($B120="","Nedostaje vrsta ekipe","prijava je kompletna")))))))))))</f>
        <v/>
      </c>
      <c r="R120">
        <f>IF($C120="","sve_ekipne","tdisc_"&amp;$C120)</f>
        <v/>
      </c>
    </row>
    <row r="121" spans="1:18">
      <c r="A121" s="5"/>
      <c r="B121" s="5"/>
      <c r="C121" s="7">
        <f>IF($E121="","",LOOKUP($E121,INDEX(grupe,0,1),INDEX(grupe,0,2)))</f>
        <v/>
      </c>
      <c r="D121" s="7">
        <f>IF($C121="","",VLOOKUP($C121,INDEX(grupe,0,2):INDEX(grupe,0,3),2,FALSE))</f>
        <v/>
      </c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8">
        <f>IF(COUNTA($A121:$B121,$E121,$H121,$K121,$N121,$F121,$I121,$L121,$O121)=0,"",IF($A121="","Nedostaje disciplina",IF($E121="","Nedostaje godište prvog člana",IF($C121="","Godište nije obuhvaćeno uzrasnom tabelom",IF(COUNTIF(INDIRECT("tdisc_"&amp;$C121),$A121)=0,"Disciplina nije moguća za uzrast "&amp;$C121,IF(IF($E121="",0,IF(LOOKUP($E121,INDEX(grupe,0,1),INDEX(grupe,0,2))=$C121,0,1))+IF($H121="",0,IF(LOOKUP($H121,INDEX(grupe,0,1),INDEX(grupe,0,2))=$C121,0,1))+IF($K121="",0,IF(LOOKUP($K121,INDEX(grupe,0,1),INDEX(grupe,0,2))=$C121,0,1))+IF($N121="",0,IF(LOOKUP($N121,INDEX(grupe,0,1),INDEX(grupe,0,2))=$C121,0,1))&gt;0,"Članovi ekipe nisu iz iste uzrasne grupe",IF(COUNTA($F121,$I121,$L121,$O121)&lt;&gt;COUNTA($E121,$H121,$K121,$N121),"Za svakog člana potrebni su i godište i ime",IF(IF(SUMPRODUCT(--ISERROR(FIND(MID($F121&amp;REPT("a",60),ROW($A$1:$A$60),1),"ABCDEFGHIJKLMNOPQRSTUVWXYZabcdefghijklmnopqrstuvwxyzČĆĐŠŽčćđšž -'")))=0,0,1)+IF(SUMPRODUCT(--ISERROR(FIND(MID($I121&amp;REPT("a",60),ROW($A$1:$A$60),1),"ABCDEFGHIJKLMNOPQRSTUVWXYZabcdefghijklmnopqrstuvwxyzČĆĐŠŽčćđšž -'")))=0,0,1)+IF(SUMPRODUCT(--ISERROR(FIND(MID($L121&amp;REPT("a",60),ROW($A$1:$A$60),1),"ABCDEFGHIJKLMNOPQRSTUVWXYZabcdefghijklmnopqrstuvwxyzČĆĐŠŽčćđšž -'")))=0,0,1)+IF(SUMPRODUCT(--ISERROR(FIND(MID($O121&amp;REPT("a",60),ROW($A$1:$A$60),1),"ABCDEFGHIJKLMNOPQRSTUVWXYZabcdefghijklmnopqrstuvwxyzČĆĐŠŽčćđšž -'")))=0,0,1)&gt;0,"Ime sadrži znakove koji nisu slova",IF(COUNTA($G121,$J121,$M121,$P121)&lt;&gt;COUNTA($F121,$I121,$L121,$O121),"Nedostaje pol za nekog od članova",IF(COUNTA($F121,$I121,$L121,$O121)&lt;VLOOKUP($A121,ekipe,2,FALSE),"Ekipa mora imati najmanje "&amp;VLOOKUP($A121,ekipe,2,FALSE)&amp;" člana",IF(COUNTA($F121,$I121,$L121,$O121)&gt;VLOOKUP($A121,ekipe,3,FALSE),"Ekipa može imati najviše "&amp;VLOOKUP($A121,ekipe,3,FALSE)&amp;" člana",IF($B121="","Nedostaje vrsta ekipe","prijava je kompletna")))))))))))</f>
        <v/>
      </c>
      <c r="R121">
        <f>IF($C121="","sve_ekipne","tdisc_"&amp;$C121)</f>
        <v/>
      </c>
    </row>
    <row r="122" spans="1:18">
      <c r="A122" s="5"/>
      <c r="B122" s="5"/>
      <c r="C122" s="7">
        <f>IF($E122="","",LOOKUP($E122,INDEX(grupe,0,1),INDEX(grupe,0,2)))</f>
        <v/>
      </c>
      <c r="D122" s="7">
        <f>IF($C122="","",VLOOKUP($C122,INDEX(grupe,0,2):INDEX(grupe,0,3),2,FALSE))</f>
        <v/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8">
        <f>IF(COUNTA($A122:$B122,$E122,$H122,$K122,$N122,$F122,$I122,$L122,$O122)=0,"",IF($A122="","Nedostaje disciplina",IF($E122="","Nedostaje godište prvog člana",IF($C122="","Godište nije obuhvaćeno uzrasnom tabelom",IF(COUNTIF(INDIRECT("tdisc_"&amp;$C122),$A122)=0,"Disciplina nije moguća za uzrast "&amp;$C122,IF(IF($E122="",0,IF(LOOKUP($E122,INDEX(grupe,0,1),INDEX(grupe,0,2))=$C122,0,1))+IF($H122="",0,IF(LOOKUP($H122,INDEX(grupe,0,1),INDEX(grupe,0,2))=$C122,0,1))+IF($K122="",0,IF(LOOKUP($K122,INDEX(grupe,0,1),INDEX(grupe,0,2))=$C122,0,1))+IF($N122="",0,IF(LOOKUP($N122,INDEX(grupe,0,1),INDEX(grupe,0,2))=$C122,0,1))&gt;0,"Članovi ekipe nisu iz iste uzrasne grupe",IF(COUNTA($F122,$I122,$L122,$O122)&lt;&gt;COUNTA($E122,$H122,$K122,$N122),"Za svakog člana potrebni su i godište i ime",IF(IF(SUMPRODUCT(--ISERROR(FIND(MID($F122&amp;REPT("a",60),ROW($A$1:$A$60),1),"ABCDEFGHIJKLMNOPQRSTUVWXYZabcdefghijklmnopqrstuvwxyzČĆĐŠŽčćđšž -'")))=0,0,1)+IF(SUMPRODUCT(--ISERROR(FIND(MID($I122&amp;REPT("a",60),ROW($A$1:$A$60),1),"ABCDEFGHIJKLMNOPQRSTUVWXYZabcdefghijklmnopqrstuvwxyzČĆĐŠŽčćđšž -'")))=0,0,1)+IF(SUMPRODUCT(--ISERROR(FIND(MID($L122&amp;REPT("a",60),ROW($A$1:$A$60),1),"ABCDEFGHIJKLMNOPQRSTUVWXYZabcdefghijklmnopqrstuvwxyzČĆĐŠŽčćđšž -'")))=0,0,1)+IF(SUMPRODUCT(--ISERROR(FIND(MID($O122&amp;REPT("a",60),ROW($A$1:$A$60),1),"ABCDEFGHIJKLMNOPQRSTUVWXYZabcdefghijklmnopqrstuvwxyzČĆĐŠŽčćđšž -'")))=0,0,1)&gt;0,"Ime sadrži znakove koji nisu slova",IF(COUNTA($G122,$J122,$M122,$P122)&lt;&gt;COUNTA($F122,$I122,$L122,$O122),"Nedostaje pol za nekog od članova",IF(COUNTA($F122,$I122,$L122,$O122)&lt;VLOOKUP($A122,ekipe,2,FALSE),"Ekipa mora imati najmanje "&amp;VLOOKUP($A122,ekipe,2,FALSE)&amp;" člana",IF(COUNTA($F122,$I122,$L122,$O122)&gt;VLOOKUP($A122,ekipe,3,FALSE),"Ekipa može imati najviše "&amp;VLOOKUP($A122,ekipe,3,FALSE)&amp;" člana",IF($B122="","Nedostaje vrsta ekipe","prijava je kompletna")))))))))))</f>
        <v/>
      </c>
      <c r="R122">
        <f>IF($C122="","sve_ekipne","tdisc_"&amp;$C122)</f>
        <v/>
      </c>
    </row>
    <row r="123" spans="1:18">
      <c r="A123" s="5"/>
      <c r="B123" s="5"/>
      <c r="C123" s="7">
        <f>IF($E123="","",LOOKUP($E123,INDEX(grupe,0,1),INDEX(grupe,0,2)))</f>
        <v/>
      </c>
      <c r="D123" s="7">
        <f>IF($C123="","",VLOOKUP($C123,INDEX(grupe,0,2):INDEX(grupe,0,3),2,FALSE))</f>
        <v/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8">
        <f>IF(COUNTA($A123:$B123,$E123,$H123,$K123,$N123,$F123,$I123,$L123,$O123)=0,"",IF($A123="","Nedostaje disciplina",IF($E123="","Nedostaje godište prvog člana",IF($C123="","Godište nije obuhvaćeno uzrasnom tabelom",IF(COUNTIF(INDIRECT("tdisc_"&amp;$C123),$A123)=0,"Disciplina nije moguća za uzrast "&amp;$C123,IF(IF($E123="",0,IF(LOOKUP($E123,INDEX(grupe,0,1),INDEX(grupe,0,2))=$C123,0,1))+IF($H123="",0,IF(LOOKUP($H123,INDEX(grupe,0,1),INDEX(grupe,0,2))=$C123,0,1))+IF($K123="",0,IF(LOOKUP($K123,INDEX(grupe,0,1),INDEX(grupe,0,2))=$C123,0,1))+IF($N123="",0,IF(LOOKUP($N123,INDEX(grupe,0,1),INDEX(grupe,0,2))=$C123,0,1))&gt;0,"Članovi ekipe nisu iz iste uzrasne grupe",IF(COUNTA($F123,$I123,$L123,$O123)&lt;&gt;COUNTA($E123,$H123,$K123,$N123),"Za svakog člana potrebni su i godište i ime",IF(IF(SUMPRODUCT(--ISERROR(FIND(MID($F123&amp;REPT("a",60),ROW($A$1:$A$60),1),"ABCDEFGHIJKLMNOPQRSTUVWXYZabcdefghijklmnopqrstuvwxyzČĆĐŠŽčćđšž -'")))=0,0,1)+IF(SUMPRODUCT(--ISERROR(FIND(MID($I123&amp;REPT("a",60),ROW($A$1:$A$60),1),"ABCDEFGHIJKLMNOPQRSTUVWXYZabcdefghijklmnopqrstuvwxyzČĆĐŠŽčćđšž -'")))=0,0,1)+IF(SUMPRODUCT(--ISERROR(FIND(MID($L123&amp;REPT("a",60),ROW($A$1:$A$60),1),"ABCDEFGHIJKLMNOPQRSTUVWXYZabcdefghijklmnopqrstuvwxyzČĆĐŠŽčćđšž -'")))=0,0,1)+IF(SUMPRODUCT(--ISERROR(FIND(MID($O123&amp;REPT("a",60),ROW($A$1:$A$60),1),"ABCDEFGHIJKLMNOPQRSTUVWXYZabcdefghijklmnopqrstuvwxyzČĆĐŠŽčćđšž -'")))=0,0,1)&gt;0,"Ime sadrži znakove koji nisu slova",IF(COUNTA($G123,$J123,$M123,$P123)&lt;&gt;COUNTA($F123,$I123,$L123,$O123),"Nedostaje pol za nekog od članova",IF(COUNTA($F123,$I123,$L123,$O123)&lt;VLOOKUP($A123,ekipe,2,FALSE),"Ekipa mora imati najmanje "&amp;VLOOKUP($A123,ekipe,2,FALSE)&amp;" člana",IF(COUNTA($F123,$I123,$L123,$O123)&gt;VLOOKUP($A123,ekipe,3,FALSE),"Ekipa može imati najviše "&amp;VLOOKUP($A123,ekipe,3,FALSE)&amp;" člana",IF($B123="","Nedostaje vrsta ekipe","prijava je kompletna")))))))))))</f>
        <v/>
      </c>
      <c r="R123">
        <f>IF($C123="","sve_ekipne","tdisc_"&amp;$C123)</f>
        <v/>
      </c>
    </row>
    <row r="124" spans="1:18">
      <c r="A124" s="5"/>
      <c r="B124" s="5"/>
      <c r="C124" s="7">
        <f>IF($E124="","",LOOKUP($E124,INDEX(grupe,0,1),INDEX(grupe,0,2)))</f>
        <v/>
      </c>
      <c r="D124" s="7">
        <f>IF($C124="","",VLOOKUP($C124,INDEX(grupe,0,2):INDEX(grupe,0,3),2,FALSE))</f>
        <v/>
      </c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8">
        <f>IF(COUNTA($A124:$B124,$E124,$H124,$K124,$N124,$F124,$I124,$L124,$O124)=0,"",IF($A124="","Nedostaje disciplina",IF($E124="","Nedostaje godište prvog člana",IF($C124="","Godište nije obuhvaćeno uzrasnom tabelom",IF(COUNTIF(INDIRECT("tdisc_"&amp;$C124),$A124)=0,"Disciplina nije moguća za uzrast "&amp;$C124,IF(IF($E124="",0,IF(LOOKUP($E124,INDEX(grupe,0,1),INDEX(grupe,0,2))=$C124,0,1))+IF($H124="",0,IF(LOOKUP($H124,INDEX(grupe,0,1),INDEX(grupe,0,2))=$C124,0,1))+IF($K124="",0,IF(LOOKUP($K124,INDEX(grupe,0,1),INDEX(grupe,0,2))=$C124,0,1))+IF($N124="",0,IF(LOOKUP($N124,INDEX(grupe,0,1),INDEX(grupe,0,2))=$C124,0,1))&gt;0,"Članovi ekipe nisu iz iste uzrasne grupe",IF(COUNTA($F124,$I124,$L124,$O124)&lt;&gt;COUNTA($E124,$H124,$K124,$N124),"Za svakog člana potrebni su i godište i ime",IF(IF(SUMPRODUCT(--ISERROR(FIND(MID($F124&amp;REPT("a",60),ROW($A$1:$A$60),1),"ABCDEFGHIJKLMNOPQRSTUVWXYZabcdefghijklmnopqrstuvwxyzČĆĐŠŽčćđšž -'")))=0,0,1)+IF(SUMPRODUCT(--ISERROR(FIND(MID($I124&amp;REPT("a",60),ROW($A$1:$A$60),1),"ABCDEFGHIJKLMNOPQRSTUVWXYZabcdefghijklmnopqrstuvwxyzČĆĐŠŽčćđšž -'")))=0,0,1)+IF(SUMPRODUCT(--ISERROR(FIND(MID($L124&amp;REPT("a",60),ROW($A$1:$A$60),1),"ABCDEFGHIJKLMNOPQRSTUVWXYZabcdefghijklmnopqrstuvwxyzČĆĐŠŽčćđšž -'")))=0,0,1)+IF(SUMPRODUCT(--ISERROR(FIND(MID($O124&amp;REPT("a",60),ROW($A$1:$A$60),1),"ABCDEFGHIJKLMNOPQRSTUVWXYZabcdefghijklmnopqrstuvwxyzČĆĐŠŽčćđšž -'")))=0,0,1)&gt;0,"Ime sadrži znakove koji nisu slova",IF(COUNTA($G124,$J124,$M124,$P124)&lt;&gt;COUNTA($F124,$I124,$L124,$O124),"Nedostaje pol za nekog od članova",IF(COUNTA($F124,$I124,$L124,$O124)&lt;VLOOKUP($A124,ekipe,2,FALSE),"Ekipa mora imati najmanje "&amp;VLOOKUP($A124,ekipe,2,FALSE)&amp;" člana",IF(COUNTA($F124,$I124,$L124,$O124)&gt;VLOOKUP($A124,ekipe,3,FALSE),"Ekipa može imati najviše "&amp;VLOOKUP($A124,ekipe,3,FALSE)&amp;" člana",IF($B124="","Nedostaje vrsta ekipe","prijava je kompletna")))))))))))</f>
        <v/>
      </c>
      <c r="R124">
        <f>IF($C124="","sve_ekipne","tdisc_"&amp;$C124)</f>
        <v/>
      </c>
    </row>
    <row r="125" spans="1:18">
      <c r="A125" s="5"/>
      <c r="B125" s="5"/>
      <c r="C125" s="7">
        <f>IF($E125="","",LOOKUP($E125,INDEX(grupe,0,1),INDEX(grupe,0,2)))</f>
        <v/>
      </c>
      <c r="D125" s="7">
        <f>IF($C125="","",VLOOKUP($C125,INDEX(grupe,0,2):INDEX(grupe,0,3),2,FALSE))</f>
        <v/>
      </c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8">
        <f>IF(COUNTA($A125:$B125,$E125,$H125,$K125,$N125,$F125,$I125,$L125,$O125)=0,"",IF($A125="","Nedostaje disciplina",IF($E125="","Nedostaje godište prvog člana",IF($C125="","Godište nije obuhvaćeno uzrasnom tabelom",IF(COUNTIF(INDIRECT("tdisc_"&amp;$C125),$A125)=0,"Disciplina nije moguća za uzrast "&amp;$C125,IF(IF($E125="",0,IF(LOOKUP($E125,INDEX(grupe,0,1),INDEX(grupe,0,2))=$C125,0,1))+IF($H125="",0,IF(LOOKUP($H125,INDEX(grupe,0,1),INDEX(grupe,0,2))=$C125,0,1))+IF($K125="",0,IF(LOOKUP($K125,INDEX(grupe,0,1),INDEX(grupe,0,2))=$C125,0,1))+IF($N125="",0,IF(LOOKUP($N125,INDEX(grupe,0,1),INDEX(grupe,0,2))=$C125,0,1))&gt;0,"Članovi ekipe nisu iz iste uzrasne grupe",IF(COUNTA($F125,$I125,$L125,$O125)&lt;&gt;COUNTA($E125,$H125,$K125,$N125),"Za svakog člana potrebni su i godište i ime",IF(IF(SUMPRODUCT(--ISERROR(FIND(MID($F125&amp;REPT("a",60),ROW($A$1:$A$60),1),"ABCDEFGHIJKLMNOPQRSTUVWXYZabcdefghijklmnopqrstuvwxyzČĆĐŠŽčćđšž -'")))=0,0,1)+IF(SUMPRODUCT(--ISERROR(FIND(MID($I125&amp;REPT("a",60),ROW($A$1:$A$60),1),"ABCDEFGHIJKLMNOPQRSTUVWXYZabcdefghijklmnopqrstuvwxyzČĆĐŠŽčćđšž -'")))=0,0,1)+IF(SUMPRODUCT(--ISERROR(FIND(MID($L125&amp;REPT("a",60),ROW($A$1:$A$60),1),"ABCDEFGHIJKLMNOPQRSTUVWXYZabcdefghijklmnopqrstuvwxyzČĆĐŠŽčćđšž -'")))=0,0,1)+IF(SUMPRODUCT(--ISERROR(FIND(MID($O125&amp;REPT("a",60),ROW($A$1:$A$60),1),"ABCDEFGHIJKLMNOPQRSTUVWXYZabcdefghijklmnopqrstuvwxyzČĆĐŠŽčćđšž -'")))=0,0,1)&gt;0,"Ime sadrži znakove koji nisu slova",IF(COUNTA($G125,$J125,$M125,$P125)&lt;&gt;COUNTA($F125,$I125,$L125,$O125),"Nedostaje pol za nekog od članova",IF(COUNTA($F125,$I125,$L125,$O125)&lt;VLOOKUP($A125,ekipe,2,FALSE),"Ekipa mora imati najmanje "&amp;VLOOKUP($A125,ekipe,2,FALSE)&amp;" člana",IF(COUNTA($F125,$I125,$L125,$O125)&gt;VLOOKUP($A125,ekipe,3,FALSE),"Ekipa može imati najviše "&amp;VLOOKUP($A125,ekipe,3,FALSE)&amp;" člana",IF($B125="","Nedostaje vrsta ekipe","prijava je kompletna")))))))))))</f>
        <v/>
      </c>
      <c r="R125">
        <f>IF($C125="","sve_ekipne","tdisc_"&amp;$C125)</f>
        <v/>
      </c>
    </row>
    <row r="126" spans="1:18">
      <c r="A126" s="5"/>
      <c r="B126" s="5"/>
      <c r="C126" s="7">
        <f>IF($E126="","",LOOKUP($E126,INDEX(grupe,0,1),INDEX(grupe,0,2)))</f>
        <v/>
      </c>
      <c r="D126" s="7">
        <f>IF($C126="","",VLOOKUP($C126,INDEX(grupe,0,2):INDEX(grupe,0,3),2,FALSE))</f>
        <v/>
      </c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8">
        <f>IF(COUNTA($A126:$B126,$E126,$H126,$K126,$N126,$F126,$I126,$L126,$O126)=0,"",IF($A126="","Nedostaje disciplina",IF($E126="","Nedostaje godište prvog člana",IF($C126="","Godište nije obuhvaćeno uzrasnom tabelom",IF(COUNTIF(INDIRECT("tdisc_"&amp;$C126),$A126)=0,"Disciplina nije moguća za uzrast "&amp;$C126,IF(IF($E126="",0,IF(LOOKUP($E126,INDEX(grupe,0,1),INDEX(grupe,0,2))=$C126,0,1))+IF($H126="",0,IF(LOOKUP($H126,INDEX(grupe,0,1),INDEX(grupe,0,2))=$C126,0,1))+IF($K126="",0,IF(LOOKUP($K126,INDEX(grupe,0,1),INDEX(grupe,0,2))=$C126,0,1))+IF($N126="",0,IF(LOOKUP($N126,INDEX(grupe,0,1),INDEX(grupe,0,2))=$C126,0,1))&gt;0,"Članovi ekipe nisu iz iste uzrasne grupe",IF(COUNTA($F126,$I126,$L126,$O126)&lt;&gt;COUNTA($E126,$H126,$K126,$N126),"Za svakog člana potrebni su i godište i ime",IF(IF(SUMPRODUCT(--ISERROR(FIND(MID($F126&amp;REPT("a",60),ROW($A$1:$A$60),1),"ABCDEFGHIJKLMNOPQRSTUVWXYZabcdefghijklmnopqrstuvwxyzČĆĐŠŽčćđšž -'")))=0,0,1)+IF(SUMPRODUCT(--ISERROR(FIND(MID($I126&amp;REPT("a",60),ROW($A$1:$A$60),1),"ABCDEFGHIJKLMNOPQRSTUVWXYZabcdefghijklmnopqrstuvwxyzČĆĐŠŽčćđšž -'")))=0,0,1)+IF(SUMPRODUCT(--ISERROR(FIND(MID($L126&amp;REPT("a",60),ROW($A$1:$A$60),1),"ABCDEFGHIJKLMNOPQRSTUVWXYZabcdefghijklmnopqrstuvwxyzČĆĐŠŽčćđšž -'")))=0,0,1)+IF(SUMPRODUCT(--ISERROR(FIND(MID($O126&amp;REPT("a",60),ROW($A$1:$A$60),1),"ABCDEFGHIJKLMNOPQRSTUVWXYZabcdefghijklmnopqrstuvwxyzČĆĐŠŽčćđšž -'")))=0,0,1)&gt;0,"Ime sadrži znakove koji nisu slova",IF(COUNTA($G126,$J126,$M126,$P126)&lt;&gt;COUNTA($F126,$I126,$L126,$O126),"Nedostaje pol za nekog od članova",IF(COUNTA($F126,$I126,$L126,$O126)&lt;VLOOKUP($A126,ekipe,2,FALSE),"Ekipa mora imati najmanje "&amp;VLOOKUP($A126,ekipe,2,FALSE)&amp;" člana",IF(COUNTA($F126,$I126,$L126,$O126)&gt;VLOOKUP($A126,ekipe,3,FALSE),"Ekipa može imati najviše "&amp;VLOOKUP($A126,ekipe,3,FALSE)&amp;" člana",IF($B126="","Nedostaje vrsta ekipe","prijava je kompletna")))))))))))</f>
        <v/>
      </c>
      <c r="R126">
        <f>IF($C126="","sve_ekipne","tdisc_"&amp;$C126)</f>
        <v/>
      </c>
    </row>
    <row r="127" spans="1:18">
      <c r="A127" s="5"/>
      <c r="B127" s="5"/>
      <c r="C127" s="7">
        <f>IF($E127="","",LOOKUP($E127,INDEX(grupe,0,1),INDEX(grupe,0,2)))</f>
        <v/>
      </c>
      <c r="D127" s="7">
        <f>IF($C127="","",VLOOKUP($C127,INDEX(grupe,0,2):INDEX(grupe,0,3),2,FALSE))</f>
        <v/>
      </c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8">
        <f>IF(COUNTA($A127:$B127,$E127,$H127,$K127,$N127,$F127,$I127,$L127,$O127)=0,"",IF($A127="","Nedostaje disciplina",IF($E127="","Nedostaje godište prvog člana",IF($C127="","Godište nije obuhvaćeno uzrasnom tabelom",IF(COUNTIF(INDIRECT("tdisc_"&amp;$C127),$A127)=0,"Disciplina nije moguća za uzrast "&amp;$C127,IF(IF($E127="",0,IF(LOOKUP($E127,INDEX(grupe,0,1),INDEX(grupe,0,2))=$C127,0,1))+IF($H127="",0,IF(LOOKUP($H127,INDEX(grupe,0,1),INDEX(grupe,0,2))=$C127,0,1))+IF($K127="",0,IF(LOOKUP($K127,INDEX(grupe,0,1),INDEX(grupe,0,2))=$C127,0,1))+IF($N127="",0,IF(LOOKUP($N127,INDEX(grupe,0,1),INDEX(grupe,0,2))=$C127,0,1))&gt;0,"Članovi ekipe nisu iz iste uzrasne grupe",IF(COUNTA($F127,$I127,$L127,$O127)&lt;&gt;COUNTA($E127,$H127,$K127,$N127),"Za svakog člana potrebni su i godište i ime",IF(IF(SUMPRODUCT(--ISERROR(FIND(MID($F127&amp;REPT("a",60),ROW($A$1:$A$60),1),"ABCDEFGHIJKLMNOPQRSTUVWXYZabcdefghijklmnopqrstuvwxyzČĆĐŠŽčćđšž -'")))=0,0,1)+IF(SUMPRODUCT(--ISERROR(FIND(MID($I127&amp;REPT("a",60),ROW($A$1:$A$60),1),"ABCDEFGHIJKLMNOPQRSTUVWXYZabcdefghijklmnopqrstuvwxyzČĆĐŠŽčćđšž -'")))=0,0,1)+IF(SUMPRODUCT(--ISERROR(FIND(MID($L127&amp;REPT("a",60),ROW($A$1:$A$60),1),"ABCDEFGHIJKLMNOPQRSTUVWXYZabcdefghijklmnopqrstuvwxyzČĆĐŠŽčćđšž -'")))=0,0,1)+IF(SUMPRODUCT(--ISERROR(FIND(MID($O127&amp;REPT("a",60),ROW($A$1:$A$60),1),"ABCDEFGHIJKLMNOPQRSTUVWXYZabcdefghijklmnopqrstuvwxyzČĆĐŠŽčćđšž -'")))=0,0,1)&gt;0,"Ime sadrži znakove koji nisu slova",IF(COUNTA($G127,$J127,$M127,$P127)&lt;&gt;COUNTA($F127,$I127,$L127,$O127),"Nedostaje pol za nekog od članova",IF(COUNTA($F127,$I127,$L127,$O127)&lt;VLOOKUP($A127,ekipe,2,FALSE),"Ekipa mora imati najmanje "&amp;VLOOKUP($A127,ekipe,2,FALSE)&amp;" člana",IF(COUNTA($F127,$I127,$L127,$O127)&gt;VLOOKUP($A127,ekipe,3,FALSE),"Ekipa može imati najviše "&amp;VLOOKUP($A127,ekipe,3,FALSE)&amp;" člana",IF($B127="","Nedostaje vrsta ekipe","prijava je kompletna")))))))))))</f>
        <v/>
      </c>
      <c r="R127">
        <f>IF($C127="","sve_ekipne","tdisc_"&amp;$C127)</f>
        <v/>
      </c>
    </row>
    <row r="128" spans="1:18">
      <c r="A128" s="5"/>
      <c r="B128" s="5"/>
      <c r="C128" s="7">
        <f>IF($E128="","",LOOKUP($E128,INDEX(grupe,0,1),INDEX(grupe,0,2)))</f>
        <v/>
      </c>
      <c r="D128" s="7">
        <f>IF($C128="","",VLOOKUP($C128,INDEX(grupe,0,2):INDEX(grupe,0,3),2,FALSE))</f>
        <v/>
      </c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8">
        <f>IF(COUNTA($A128:$B128,$E128,$H128,$K128,$N128,$F128,$I128,$L128,$O128)=0,"",IF($A128="","Nedostaje disciplina",IF($E128="","Nedostaje godište prvog člana",IF($C128="","Godište nije obuhvaćeno uzrasnom tabelom",IF(COUNTIF(INDIRECT("tdisc_"&amp;$C128),$A128)=0,"Disciplina nije moguća za uzrast "&amp;$C128,IF(IF($E128="",0,IF(LOOKUP($E128,INDEX(grupe,0,1),INDEX(grupe,0,2))=$C128,0,1))+IF($H128="",0,IF(LOOKUP($H128,INDEX(grupe,0,1),INDEX(grupe,0,2))=$C128,0,1))+IF($K128="",0,IF(LOOKUP($K128,INDEX(grupe,0,1),INDEX(grupe,0,2))=$C128,0,1))+IF($N128="",0,IF(LOOKUP($N128,INDEX(grupe,0,1),INDEX(grupe,0,2))=$C128,0,1))&gt;0,"Članovi ekipe nisu iz iste uzrasne grupe",IF(COUNTA($F128,$I128,$L128,$O128)&lt;&gt;COUNTA($E128,$H128,$K128,$N128),"Za svakog člana potrebni su i godište i ime",IF(IF(SUMPRODUCT(--ISERROR(FIND(MID($F128&amp;REPT("a",60),ROW($A$1:$A$60),1),"ABCDEFGHIJKLMNOPQRSTUVWXYZabcdefghijklmnopqrstuvwxyzČĆĐŠŽčćđšž -'")))=0,0,1)+IF(SUMPRODUCT(--ISERROR(FIND(MID($I128&amp;REPT("a",60),ROW($A$1:$A$60),1),"ABCDEFGHIJKLMNOPQRSTUVWXYZabcdefghijklmnopqrstuvwxyzČĆĐŠŽčćđšž -'")))=0,0,1)+IF(SUMPRODUCT(--ISERROR(FIND(MID($L128&amp;REPT("a",60),ROW($A$1:$A$60),1),"ABCDEFGHIJKLMNOPQRSTUVWXYZabcdefghijklmnopqrstuvwxyzČĆĐŠŽčćđšž -'")))=0,0,1)+IF(SUMPRODUCT(--ISERROR(FIND(MID($O128&amp;REPT("a",60),ROW($A$1:$A$60),1),"ABCDEFGHIJKLMNOPQRSTUVWXYZabcdefghijklmnopqrstuvwxyzČĆĐŠŽčćđšž -'")))=0,0,1)&gt;0,"Ime sadrži znakove koji nisu slova",IF(COUNTA($G128,$J128,$M128,$P128)&lt;&gt;COUNTA($F128,$I128,$L128,$O128),"Nedostaje pol za nekog od članova",IF(COUNTA($F128,$I128,$L128,$O128)&lt;VLOOKUP($A128,ekipe,2,FALSE),"Ekipa mora imati najmanje "&amp;VLOOKUP($A128,ekipe,2,FALSE)&amp;" člana",IF(COUNTA($F128,$I128,$L128,$O128)&gt;VLOOKUP($A128,ekipe,3,FALSE),"Ekipa može imati najviše "&amp;VLOOKUP($A128,ekipe,3,FALSE)&amp;" člana",IF($B128="","Nedostaje vrsta ekipe","prijava je kompletna")))))))))))</f>
        <v/>
      </c>
      <c r="R128">
        <f>IF($C128="","sve_ekipne","tdisc_"&amp;$C128)</f>
        <v/>
      </c>
    </row>
    <row r="129" spans="1:18">
      <c r="A129" s="5"/>
      <c r="B129" s="5"/>
      <c r="C129" s="7">
        <f>IF($E129="","",LOOKUP($E129,INDEX(grupe,0,1),INDEX(grupe,0,2)))</f>
        <v/>
      </c>
      <c r="D129" s="7">
        <f>IF($C129="","",VLOOKUP($C129,INDEX(grupe,0,2):INDEX(grupe,0,3),2,FALSE))</f>
        <v/>
      </c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8">
        <f>IF(COUNTA($A129:$B129,$E129,$H129,$K129,$N129,$F129,$I129,$L129,$O129)=0,"",IF($A129="","Nedostaje disciplina",IF($E129="","Nedostaje godište prvog člana",IF($C129="","Godište nije obuhvaćeno uzrasnom tabelom",IF(COUNTIF(INDIRECT("tdisc_"&amp;$C129),$A129)=0,"Disciplina nije moguća za uzrast "&amp;$C129,IF(IF($E129="",0,IF(LOOKUP($E129,INDEX(grupe,0,1),INDEX(grupe,0,2))=$C129,0,1))+IF($H129="",0,IF(LOOKUP($H129,INDEX(grupe,0,1),INDEX(grupe,0,2))=$C129,0,1))+IF($K129="",0,IF(LOOKUP($K129,INDEX(grupe,0,1),INDEX(grupe,0,2))=$C129,0,1))+IF($N129="",0,IF(LOOKUP($N129,INDEX(grupe,0,1),INDEX(grupe,0,2))=$C129,0,1))&gt;0,"Članovi ekipe nisu iz iste uzrasne grupe",IF(COUNTA($F129,$I129,$L129,$O129)&lt;&gt;COUNTA($E129,$H129,$K129,$N129),"Za svakog člana potrebni su i godište i ime",IF(IF(SUMPRODUCT(--ISERROR(FIND(MID($F129&amp;REPT("a",60),ROW($A$1:$A$60),1),"ABCDEFGHIJKLMNOPQRSTUVWXYZabcdefghijklmnopqrstuvwxyzČĆĐŠŽčćđšž -'")))=0,0,1)+IF(SUMPRODUCT(--ISERROR(FIND(MID($I129&amp;REPT("a",60),ROW($A$1:$A$60),1),"ABCDEFGHIJKLMNOPQRSTUVWXYZabcdefghijklmnopqrstuvwxyzČĆĐŠŽčćđšž -'")))=0,0,1)+IF(SUMPRODUCT(--ISERROR(FIND(MID($L129&amp;REPT("a",60),ROW($A$1:$A$60),1),"ABCDEFGHIJKLMNOPQRSTUVWXYZabcdefghijklmnopqrstuvwxyzČĆĐŠŽčćđšž -'")))=0,0,1)+IF(SUMPRODUCT(--ISERROR(FIND(MID($O129&amp;REPT("a",60),ROW($A$1:$A$60),1),"ABCDEFGHIJKLMNOPQRSTUVWXYZabcdefghijklmnopqrstuvwxyzČĆĐŠŽčćđšž -'")))=0,0,1)&gt;0,"Ime sadrži znakove koji nisu slova",IF(COUNTA($G129,$J129,$M129,$P129)&lt;&gt;COUNTA($F129,$I129,$L129,$O129),"Nedostaje pol za nekog od članova",IF(COUNTA($F129,$I129,$L129,$O129)&lt;VLOOKUP($A129,ekipe,2,FALSE),"Ekipa mora imati najmanje "&amp;VLOOKUP($A129,ekipe,2,FALSE)&amp;" člana",IF(COUNTA($F129,$I129,$L129,$O129)&gt;VLOOKUP($A129,ekipe,3,FALSE),"Ekipa može imati najviše "&amp;VLOOKUP($A129,ekipe,3,FALSE)&amp;" člana",IF($B129="","Nedostaje vrsta ekipe","prijava je kompletna")))))))))))</f>
        <v/>
      </c>
      <c r="R129">
        <f>IF($C129="","sve_ekipne","tdisc_"&amp;$C129)</f>
        <v/>
      </c>
    </row>
  </sheetData>
  <sheetProtection sheet="1" objects="1" scenarios="1" formatColumns="0" formatRows="0"/>
  <mergeCells count="1">
    <mergeCell ref="A3:Q3"/>
  </mergeCells>
  <dataValidations count="14">
    <dataValidation type="list" allowBlank="1" showInputMessage="1" showErrorMessage="1" errorTitle="Disciplina" error="Godište prvog člana unosi se pre discipline. Padajući meni nudi ekipne discipline koje su moguće u odnosu na uzrast." sqref="A10:A129">
      <formula1>INDIRECT($R10)</formula1>
    </dataValidation>
    <dataValidation type="list" allowBlank="1" showInputMessage="1" showErrorMessage="1" errorTitle="Vrsta ekipe" error="Vrsta ekipe: muškarci ili žene. Enbu se takmiči u muškom i mešovitom paru." sqref="B10:B129">
      <formula1>vrste</formula1>
    </dataValidation>
    <dataValidation type="list" allowBlank="1" showInputMessage="1" showErrorMessage="1" errorTitle="Godište" error="Godište se bira iz padajućeg menija." sqref="E10:E129">
      <formula1>godista</formula1>
    </dataValidation>
    <dataValidation type="list" allowBlank="1" showInputMessage="1" showErrorMessage="1" errorTitle="Pol" error="Pol se bira iz padajućeg menija." sqref="G10:G129">
      <formula1>polovi</formula1>
    </dataValidation>
    <dataValidation type="custom" allowBlank="1" showInputMessage="1" showErrorMessage="1" errorTitle="Ime i prezime" error="Polje prima isključivo slova, razmak, crticu i apostrof; cifre nisu dozvoljene." sqref="F10:F129">
      <formula1>AND(ISERROR(FIND("0",F10)),ISERROR(FIND("1",F10)),ISERROR(FIND("2",F10)),ISERROR(FIND("3",F10)),ISERROR(FIND("4",F10)),ISERROR(FIND("5",F10)),ISERROR(FIND("6",F10)),ISERROR(FIND("7",F10)),ISERROR(FIND("8",F10)),ISERROR(FIND("9",F10)))</formula1>
    </dataValidation>
    <dataValidation type="list" allowBlank="1" showInputMessage="1" showErrorMessage="1" errorTitle="Godište" error="Godište se bira iz padajućeg menija." sqref="H10:H129">
      <formula1>godista</formula1>
    </dataValidation>
    <dataValidation type="list" allowBlank="1" showInputMessage="1" showErrorMessage="1" errorTitle="Pol" error="Pol se bira iz padajućeg menija." sqref="J10:J129">
      <formula1>polovi</formula1>
    </dataValidation>
    <dataValidation type="custom" allowBlank="1" showInputMessage="1" showErrorMessage="1" errorTitle="Ime i prezime" error="Polje prima isključivo slova, razmak, crticu i apostrof; cifre nisu dozvoljene." sqref="I10:I129">
      <formula1>AND(ISERROR(FIND("0",I10)),ISERROR(FIND("1",I10)),ISERROR(FIND("2",I10)),ISERROR(FIND("3",I10)),ISERROR(FIND("4",I10)),ISERROR(FIND("5",I10)),ISERROR(FIND("6",I10)),ISERROR(FIND("7",I10)),ISERROR(FIND("8",I10)),ISERROR(FIND("9",I10)))</formula1>
    </dataValidation>
    <dataValidation type="list" allowBlank="1" showInputMessage="1" showErrorMessage="1" errorTitle="Godište" error="Godište se bira iz padajućeg menija." sqref="K10:K129">
      <formula1>godista</formula1>
    </dataValidation>
    <dataValidation type="list" allowBlank="1" showInputMessage="1" showErrorMessage="1" errorTitle="Pol" error="Pol se bira iz padajućeg menija." sqref="M10:M129">
      <formula1>polovi</formula1>
    </dataValidation>
    <dataValidation type="custom" allowBlank="1" showInputMessage="1" showErrorMessage="1" errorTitle="Ime i prezime" error="Polje prima isključivo slova, razmak, crticu i apostrof; cifre nisu dozvoljene." sqref="L10:L129">
      <formula1>AND(ISERROR(FIND("0",L10)),ISERROR(FIND("1",L10)),ISERROR(FIND("2",L10)),ISERROR(FIND("3",L10)),ISERROR(FIND("4",L10)),ISERROR(FIND("5",L10)),ISERROR(FIND("6",L10)),ISERROR(FIND("7",L10)),ISERROR(FIND("8",L10)),ISERROR(FIND("9",L10)))</formula1>
    </dataValidation>
    <dataValidation type="list" allowBlank="1" showInputMessage="1" showErrorMessage="1" errorTitle="Godište" error="Godište se bira iz padajućeg menija." sqref="N10:N129">
      <formula1>godista</formula1>
    </dataValidation>
    <dataValidation type="list" allowBlank="1" showInputMessage="1" showErrorMessage="1" errorTitle="Pol" error="Pol se bira iz padajućeg menija." sqref="P10:P129">
      <formula1>polovi</formula1>
    </dataValidation>
    <dataValidation type="custom" allowBlank="1" showInputMessage="1" showErrorMessage="1" errorTitle="Ime i prezime" error="Polje prima isključivo slova, razmak, crticu i apostrof; cifre nisu dozvoljene." sqref="O10:O129">
      <formula1>AND(ISERROR(FIND("0",O10)),ISERROR(FIND("1",O10)),ISERROR(FIND("2",O10)),ISERROR(FIND("3",O10)),ISERROR(FIND("4",O10)),ISERROR(FIND("5",O10)),ISERROR(FIND("6",O10)),ISERROR(FIND("7",O10)),ISERROR(FIND("8",O10)),ISERROR(FIND("9",O10)))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BB101"/>
  <sheetViews>
    <sheetView workbookViewId="0"/>
  </sheetViews>
  <sheetFormatPr defaultRowHeight="15"/>
  <sheetData>
    <row r="1" spans="1:54">
      <c r="A1" t="s">
        <v>44</v>
      </c>
      <c r="B1" t="s">
        <v>45</v>
      </c>
      <c r="C1" t="s">
        <v>46</v>
      </c>
      <c r="E1" t="s">
        <v>67</v>
      </c>
      <c r="F1" t="s">
        <v>68</v>
      </c>
      <c r="G1" t="s">
        <v>76</v>
      </c>
      <c r="H1" t="s">
        <v>79</v>
      </c>
      <c r="I1" t="s">
        <v>93</v>
      </c>
      <c r="J1" t="s">
        <v>100</v>
      </c>
      <c r="K1" t="s">
        <v>132</v>
      </c>
      <c r="L1" t="s">
        <v>133</v>
      </c>
      <c r="M1" t="s">
        <v>134</v>
      </c>
      <c r="N1" t="s">
        <v>135</v>
      </c>
      <c r="O1" t="s">
        <v>136</v>
      </c>
      <c r="P1" t="s">
        <v>137</v>
      </c>
      <c r="Q1" t="s">
        <v>138</v>
      </c>
      <c r="R1" t="s">
        <v>139</v>
      </c>
      <c r="S1" t="s">
        <v>140</v>
      </c>
      <c r="T1" t="s">
        <v>141</v>
      </c>
      <c r="U1" t="s">
        <v>142</v>
      </c>
      <c r="V1" t="s">
        <v>143</v>
      </c>
      <c r="W1" t="s">
        <v>144</v>
      </c>
      <c r="X1" t="s">
        <v>145</v>
      </c>
      <c r="Y1" t="s">
        <v>146</v>
      </c>
      <c r="Z1" t="s">
        <v>147</v>
      </c>
      <c r="AA1" t="s">
        <v>148</v>
      </c>
      <c r="AB1" t="s">
        <v>149</v>
      </c>
      <c r="AC1" t="s">
        <v>150</v>
      </c>
      <c r="AD1" t="s">
        <v>151</v>
      </c>
      <c r="AE1" t="s">
        <v>152</v>
      </c>
      <c r="AF1" t="s">
        <v>153</v>
      </c>
      <c r="AG1" t="s">
        <v>154</v>
      </c>
      <c r="AH1" t="s">
        <v>155</v>
      </c>
      <c r="AI1" t="s">
        <v>156</v>
      </c>
      <c r="AJ1" t="s">
        <v>157</v>
      </c>
      <c r="AK1" t="s">
        <v>158</v>
      </c>
      <c r="AL1" t="s">
        <v>159</v>
      </c>
      <c r="AM1" t="s">
        <v>160</v>
      </c>
      <c r="AN1" t="s">
        <v>161</v>
      </c>
      <c r="AO1" t="s">
        <v>162</v>
      </c>
      <c r="AP1" t="s">
        <v>163</v>
      </c>
      <c r="AQ1" t="s">
        <v>164</v>
      </c>
      <c r="AR1" t="s">
        <v>165</v>
      </c>
      <c r="AS1" t="s">
        <v>166</v>
      </c>
      <c r="AT1" t="s">
        <v>167</v>
      </c>
      <c r="AU1" t="s">
        <v>168</v>
      </c>
      <c r="AV1" t="s">
        <v>169</v>
      </c>
      <c r="AW1" t="s">
        <v>170</v>
      </c>
      <c r="AX1" t="s">
        <v>171</v>
      </c>
      <c r="AY1" t="s">
        <v>172</v>
      </c>
      <c r="AZ1" t="s">
        <v>173</v>
      </c>
      <c r="BA1" t="s">
        <v>174</v>
      </c>
      <c r="BB1" t="s">
        <v>175</v>
      </c>
    </row>
    <row r="2" spans="1:54">
      <c r="A2">
        <v>1906</v>
      </c>
      <c r="B2" t="s">
        <v>47</v>
      </c>
      <c r="C2" t="s">
        <v>48</v>
      </c>
      <c r="E2">
        <v>2026</v>
      </c>
      <c r="F2" t="s">
        <v>69</v>
      </c>
      <c r="G2" t="s">
        <v>77</v>
      </c>
      <c r="H2" t="s">
        <v>80</v>
      </c>
      <c r="I2" t="s">
        <v>94</v>
      </c>
      <c r="J2" t="s">
        <v>101</v>
      </c>
      <c r="K2" t="s">
        <v>80</v>
      </c>
      <c r="L2" t="s">
        <v>95</v>
      </c>
      <c r="M2" t="s">
        <v>101</v>
      </c>
      <c r="N2" t="s">
        <v>101</v>
      </c>
      <c r="O2" t="s">
        <v>80</v>
      </c>
      <c r="P2" t="s">
        <v>95</v>
      </c>
      <c r="Q2" t="s">
        <v>104</v>
      </c>
      <c r="R2" t="s">
        <v>104</v>
      </c>
      <c r="S2" t="s">
        <v>80</v>
      </c>
      <c r="T2" t="s">
        <v>94</v>
      </c>
      <c r="U2" t="s">
        <v>104</v>
      </c>
      <c r="V2" t="s">
        <v>108</v>
      </c>
      <c r="W2" t="s">
        <v>80</v>
      </c>
      <c r="X2" t="s">
        <v>94</v>
      </c>
      <c r="Y2" t="s">
        <v>106</v>
      </c>
      <c r="Z2" t="s">
        <v>109</v>
      </c>
      <c r="AA2" t="s">
        <v>80</v>
      </c>
      <c r="AB2" t="s">
        <v>95</v>
      </c>
      <c r="AC2" t="s">
        <v>115</v>
      </c>
      <c r="AD2" t="s">
        <v>118</v>
      </c>
      <c r="AE2" t="s">
        <v>80</v>
      </c>
      <c r="AF2" t="s">
        <v>95</v>
      </c>
      <c r="AG2" t="s">
        <v>121</v>
      </c>
      <c r="AH2" t="s">
        <v>113</v>
      </c>
      <c r="AI2" t="s">
        <v>80</v>
      </c>
      <c r="AJ2" t="s">
        <v>95</v>
      </c>
      <c r="AK2" t="s">
        <v>126</v>
      </c>
      <c r="AL2" t="s">
        <v>129</v>
      </c>
      <c r="AM2" t="s">
        <v>80</v>
      </c>
      <c r="AN2" t="s">
        <v>95</v>
      </c>
      <c r="AO2" t="s">
        <v>131</v>
      </c>
      <c r="AP2" t="s">
        <v>131</v>
      </c>
      <c r="AQ2" t="s">
        <v>80</v>
      </c>
      <c r="AR2" t="s">
        <v>95</v>
      </c>
      <c r="AS2" t="s">
        <v>131</v>
      </c>
      <c r="AT2" t="s">
        <v>131</v>
      </c>
      <c r="AU2" t="s">
        <v>80</v>
      </c>
      <c r="AW2" t="s">
        <v>131</v>
      </c>
      <c r="AX2" t="s">
        <v>131</v>
      </c>
      <c r="AY2" t="s">
        <v>94</v>
      </c>
      <c r="AZ2">
        <v>3</v>
      </c>
      <c r="BA2">
        <v>4</v>
      </c>
      <c r="BB2" t="s">
        <v>176</v>
      </c>
    </row>
    <row r="3" spans="1:54">
      <c r="A3">
        <v>1977</v>
      </c>
      <c r="B3" t="s">
        <v>49</v>
      </c>
      <c r="C3" t="s">
        <v>50</v>
      </c>
      <c r="E3">
        <v>2025</v>
      </c>
      <c r="F3" t="s">
        <v>70</v>
      </c>
      <c r="G3" t="s">
        <v>78</v>
      </c>
      <c r="H3" t="s">
        <v>81</v>
      </c>
      <c r="I3" t="s">
        <v>95</v>
      </c>
      <c r="J3" t="s">
        <v>102</v>
      </c>
      <c r="K3" t="s">
        <v>81</v>
      </c>
      <c r="L3" t="s">
        <v>98</v>
      </c>
      <c r="M3" t="s">
        <v>102</v>
      </c>
      <c r="N3" t="s">
        <v>104</v>
      </c>
      <c r="O3" t="s">
        <v>82</v>
      </c>
      <c r="P3" t="s">
        <v>98</v>
      </c>
      <c r="Q3" t="s">
        <v>102</v>
      </c>
      <c r="R3" t="s">
        <v>102</v>
      </c>
      <c r="S3" t="s">
        <v>82</v>
      </c>
      <c r="T3" t="s">
        <v>95</v>
      </c>
      <c r="U3" t="s">
        <v>106</v>
      </c>
      <c r="V3" t="s">
        <v>109</v>
      </c>
      <c r="W3" t="s">
        <v>82</v>
      </c>
      <c r="X3" t="s">
        <v>95</v>
      </c>
      <c r="Y3" t="s">
        <v>111</v>
      </c>
      <c r="Z3" t="s">
        <v>113</v>
      </c>
      <c r="AA3" t="s">
        <v>85</v>
      </c>
      <c r="AB3" t="s">
        <v>96</v>
      </c>
      <c r="AC3" t="s">
        <v>116</v>
      </c>
      <c r="AD3" t="s">
        <v>119</v>
      </c>
      <c r="AE3" t="s">
        <v>85</v>
      </c>
      <c r="AF3" t="s">
        <v>96</v>
      </c>
      <c r="AG3" t="s">
        <v>122</v>
      </c>
      <c r="AH3" t="s">
        <v>124</v>
      </c>
      <c r="AI3" t="s">
        <v>86</v>
      </c>
      <c r="AJ3" t="s">
        <v>97</v>
      </c>
      <c r="AK3" t="s">
        <v>127</v>
      </c>
      <c r="AL3" t="s">
        <v>121</v>
      </c>
      <c r="AM3" t="s">
        <v>86</v>
      </c>
      <c r="AN3" t="s">
        <v>97</v>
      </c>
      <c r="AQ3" t="s">
        <v>86</v>
      </c>
      <c r="AR3" t="s">
        <v>97</v>
      </c>
      <c r="AU3" t="s">
        <v>86</v>
      </c>
      <c r="AY3" t="s">
        <v>95</v>
      </c>
      <c r="AZ3">
        <v>2</v>
      </c>
      <c r="BA3">
        <v>2</v>
      </c>
      <c r="BB3" t="s">
        <v>177</v>
      </c>
    </row>
    <row r="4" spans="1:54">
      <c r="A4">
        <v>1992</v>
      </c>
      <c r="B4" t="s">
        <v>51</v>
      </c>
      <c r="C4" t="s">
        <v>52</v>
      </c>
      <c r="E4">
        <v>2024</v>
      </c>
      <c r="F4" t="s">
        <v>71</v>
      </c>
      <c r="H4" t="s">
        <v>82</v>
      </c>
      <c r="I4" t="s">
        <v>96</v>
      </c>
      <c r="J4" t="s">
        <v>103</v>
      </c>
      <c r="K4" t="s">
        <v>82</v>
      </c>
      <c r="L4" t="s">
        <v>99</v>
      </c>
      <c r="M4" t="s">
        <v>103</v>
      </c>
      <c r="N4" t="s">
        <v>105</v>
      </c>
      <c r="O4" t="s">
        <v>83</v>
      </c>
      <c r="P4" t="s">
        <v>99</v>
      </c>
      <c r="Q4" t="s">
        <v>103</v>
      </c>
      <c r="R4" t="s">
        <v>103</v>
      </c>
      <c r="S4" t="s">
        <v>84</v>
      </c>
      <c r="T4" t="s">
        <v>98</v>
      </c>
      <c r="U4" t="s">
        <v>107</v>
      </c>
      <c r="V4" t="s">
        <v>110</v>
      </c>
      <c r="W4" t="s">
        <v>84</v>
      </c>
      <c r="X4" t="s">
        <v>98</v>
      </c>
      <c r="Y4" t="s">
        <v>112</v>
      </c>
      <c r="Z4" t="s">
        <v>114</v>
      </c>
      <c r="AA4" t="s">
        <v>86</v>
      </c>
      <c r="AB4" t="s">
        <v>98</v>
      </c>
      <c r="AC4" t="s">
        <v>117</v>
      </c>
      <c r="AD4" t="s">
        <v>120</v>
      </c>
      <c r="AE4" t="s">
        <v>86</v>
      </c>
      <c r="AF4" t="s">
        <v>98</v>
      </c>
      <c r="AG4" t="s">
        <v>123</v>
      </c>
      <c r="AH4" t="s">
        <v>125</v>
      </c>
      <c r="AI4" t="s">
        <v>87</v>
      </c>
      <c r="AJ4" t="s">
        <v>98</v>
      </c>
      <c r="AK4" t="s">
        <v>128</v>
      </c>
      <c r="AL4" t="s">
        <v>130</v>
      </c>
      <c r="AM4" t="s">
        <v>87</v>
      </c>
      <c r="AN4" t="s">
        <v>98</v>
      </c>
      <c r="AQ4" t="s">
        <v>87</v>
      </c>
      <c r="AR4" t="s">
        <v>98</v>
      </c>
      <c r="AU4" t="s">
        <v>87</v>
      </c>
      <c r="AY4" t="s">
        <v>96</v>
      </c>
      <c r="AZ4">
        <v>3</v>
      </c>
      <c r="BA4">
        <v>4</v>
      </c>
      <c r="BB4" t="s">
        <v>178</v>
      </c>
    </row>
    <row r="5" spans="1:54">
      <c r="A5">
        <v>2006</v>
      </c>
      <c r="B5" t="s">
        <v>53</v>
      </c>
      <c r="C5" t="s">
        <v>54</v>
      </c>
      <c r="E5">
        <v>2023</v>
      </c>
      <c r="F5" t="s">
        <v>72</v>
      </c>
      <c r="H5" t="s">
        <v>83</v>
      </c>
      <c r="I5" t="s">
        <v>97</v>
      </c>
      <c r="J5" t="s">
        <v>104</v>
      </c>
      <c r="K5" t="s">
        <v>83</v>
      </c>
      <c r="O5" t="s">
        <v>91</v>
      </c>
      <c r="S5" t="s">
        <v>91</v>
      </c>
      <c r="T5" t="s">
        <v>99</v>
      </c>
      <c r="W5" t="s">
        <v>91</v>
      </c>
      <c r="X5" t="s">
        <v>99</v>
      </c>
      <c r="AA5" t="s">
        <v>91</v>
      </c>
      <c r="AB5" t="s">
        <v>99</v>
      </c>
      <c r="AE5" t="s">
        <v>90</v>
      </c>
      <c r="AF5" t="s">
        <v>99</v>
      </c>
      <c r="AI5" t="s">
        <v>89</v>
      </c>
      <c r="AJ5" t="s">
        <v>99</v>
      </c>
      <c r="AM5" t="s">
        <v>88</v>
      </c>
      <c r="AN5" t="s">
        <v>99</v>
      </c>
      <c r="AQ5" t="s">
        <v>88</v>
      </c>
      <c r="AR5" t="s">
        <v>99</v>
      </c>
      <c r="AU5" t="s">
        <v>88</v>
      </c>
      <c r="AY5" t="s">
        <v>97</v>
      </c>
      <c r="AZ5">
        <v>3</v>
      </c>
      <c r="BA5">
        <v>4</v>
      </c>
      <c r="BB5" t="s">
        <v>179</v>
      </c>
    </row>
    <row r="6" spans="1:54">
      <c r="A6">
        <v>2008</v>
      </c>
      <c r="B6" t="s">
        <v>55</v>
      </c>
      <c r="C6" t="s">
        <v>56</v>
      </c>
      <c r="E6">
        <v>2022</v>
      </c>
      <c r="F6" t="s">
        <v>73</v>
      </c>
      <c r="H6" t="s">
        <v>84</v>
      </c>
      <c r="I6" t="s">
        <v>98</v>
      </c>
      <c r="J6" t="s">
        <v>105</v>
      </c>
      <c r="K6" t="s">
        <v>91</v>
      </c>
      <c r="O6" t="s">
        <v>92</v>
      </c>
      <c r="S6" t="s">
        <v>92</v>
      </c>
      <c r="W6" t="s">
        <v>92</v>
      </c>
      <c r="AA6" t="s">
        <v>92</v>
      </c>
      <c r="AE6" t="s">
        <v>91</v>
      </c>
      <c r="AI6" t="s">
        <v>90</v>
      </c>
      <c r="AM6" t="s">
        <v>89</v>
      </c>
      <c r="AQ6" t="s">
        <v>89</v>
      </c>
      <c r="AU6" t="s">
        <v>89</v>
      </c>
      <c r="AY6" t="s">
        <v>98</v>
      </c>
      <c r="AZ6">
        <v>3</v>
      </c>
      <c r="BA6">
        <v>3</v>
      </c>
    </row>
    <row r="7" spans="1:54">
      <c r="A7">
        <v>2011</v>
      </c>
      <c r="B7" t="s">
        <v>57</v>
      </c>
      <c r="C7" t="s">
        <v>58</v>
      </c>
      <c r="E7">
        <v>2021</v>
      </c>
      <c r="F7" t="s">
        <v>74</v>
      </c>
      <c r="H7" t="s">
        <v>85</v>
      </c>
      <c r="I7" t="s">
        <v>99</v>
      </c>
      <c r="J7" t="s">
        <v>106</v>
      </c>
      <c r="K7" t="s">
        <v>92</v>
      </c>
      <c r="AE7" t="s">
        <v>92</v>
      </c>
      <c r="AI7" t="s">
        <v>91</v>
      </c>
      <c r="AM7" t="s">
        <v>90</v>
      </c>
      <c r="AQ7" t="s">
        <v>90</v>
      </c>
      <c r="AU7" t="s">
        <v>90</v>
      </c>
      <c r="AY7" t="s">
        <v>99</v>
      </c>
      <c r="AZ7">
        <v>3</v>
      </c>
      <c r="BA7">
        <v>4</v>
      </c>
    </row>
    <row r="8" spans="1:54">
      <c r="A8">
        <v>2013</v>
      </c>
      <c r="B8" t="s">
        <v>59</v>
      </c>
      <c r="C8" t="s">
        <v>60</v>
      </c>
      <c r="E8">
        <v>2020</v>
      </c>
      <c r="F8" t="s">
        <v>75</v>
      </c>
      <c r="H8" t="s">
        <v>86</v>
      </c>
      <c r="J8" t="s">
        <v>107</v>
      </c>
      <c r="AI8" t="s">
        <v>92</v>
      </c>
      <c r="AM8" t="s">
        <v>91</v>
      </c>
      <c r="AQ8" t="s">
        <v>91</v>
      </c>
      <c r="AU8" t="s">
        <v>91</v>
      </c>
    </row>
    <row r="9" spans="1:54">
      <c r="A9">
        <v>2015</v>
      </c>
      <c r="B9" t="s">
        <v>61</v>
      </c>
      <c r="C9" t="s">
        <v>62</v>
      </c>
      <c r="E9">
        <v>2019</v>
      </c>
      <c r="H9" t="s">
        <v>87</v>
      </c>
      <c r="J9" t="s">
        <v>108</v>
      </c>
      <c r="AM9" t="s">
        <v>92</v>
      </c>
      <c r="AQ9" t="s">
        <v>92</v>
      </c>
      <c r="AU9" t="s">
        <v>92</v>
      </c>
    </row>
    <row r="10" spans="1:54">
      <c r="A10">
        <v>2017</v>
      </c>
      <c r="B10" t="s">
        <v>63</v>
      </c>
      <c r="C10" t="s">
        <v>64</v>
      </c>
      <c r="E10">
        <v>2018</v>
      </c>
      <c r="H10" t="s">
        <v>88</v>
      </c>
      <c r="J10" t="s">
        <v>109</v>
      </c>
    </row>
    <row r="11" spans="1:54">
      <c r="A11">
        <v>2019</v>
      </c>
      <c r="B11" t="s">
        <v>65</v>
      </c>
      <c r="C11" t="s">
        <v>66</v>
      </c>
      <c r="E11">
        <v>2017</v>
      </c>
      <c r="H11" t="s">
        <v>89</v>
      </c>
      <c r="J11" t="s">
        <v>110</v>
      </c>
    </row>
    <row r="12" spans="1:54">
      <c r="E12">
        <v>2016</v>
      </c>
      <c r="H12" t="s">
        <v>90</v>
      </c>
      <c r="J12" t="s">
        <v>111</v>
      </c>
    </row>
    <row r="13" spans="1:54">
      <c r="E13">
        <v>2015</v>
      </c>
      <c r="H13" t="s">
        <v>91</v>
      </c>
      <c r="J13" t="s">
        <v>112</v>
      </c>
    </row>
    <row r="14" spans="1:54">
      <c r="E14">
        <v>2014</v>
      </c>
      <c r="H14" t="s">
        <v>92</v>
      </c>
      <c r="J14" t="s">
        <v>113</v>
      </c>
    </row>
    <row r="15" spans="1:54">
      <c r="E15">
        <v>2013</v>
      </c>
      <c r="J15" t="s">
        <v>114</v>
      </c>
    </row>
    <row r="16" spans="1:54">
      <c r="E16">
        <v>2012</v>
      </c>
      <c r="J16" t="s">
        <v>115</v>
      </c>
    </row>
    <row r="17" spans="5:10">
      <c r="E17">
        <v>2011</v>
      </c>
      <c r="J17" t="s">
        <v>116</v>
      </c>
    </row>
    <row r="18" spans="5:10">
      <c r="E18">
        <v>2010</v>
      </c>
      <c r="J18" t="s">
        <v>117</v>
      </c>
    </row>
    <row r="19" spans="5:10">
      <c r="E19">
        <v>2009</v>
      </c>
      <c r="J19" t="s">
        <v>118</v>
      </c>
    </row>
    <row r="20" spans="5:10">
      <c r="E20">
        <v>2008</v>
      </c>
      <c r="J20" t="s">
        <v>119</v>
      </c>
    </row>
    <row r="21" spans="5:10">
      <c r="E21">
        <v>2007</v>
      </c>
      <c r="J21" t="s">
        <v>120</v>
      </c>
    </row>
    <row r="22" spans="5:10">
      <c r="E22">
        <v>2006</v>
      </c>
      <c r="J22" t="s">
        <v>121</v>
      </c>
    </row>
    <row r="23" spans="5:10">
      <c r="E23">
        <v>2005</v>
      </c>
      <c r="J23" t="s">
        <v>122</v>
      </c>
    </row>
    <row r="24" spans="5:10">
      <c r="E24">
        <v>2004</v>
      </c>
      <c r="J24" t="s">
        <v>123</v>
      </c>
    </row>
    <row r="25" spans="5:10">
      <c r="E25">
        <v>2003</v>
      </c>
      <c r="J25" t="s">
        <v>124</v>
      </c>
    </row>
    <row r="26" spans="5:10">
      <c r="E26">
        <v>2002</v>
      </c>
      <c r="J26" t="s">
        <v>125</v>
      </c>
    </row>
    <row r="27" spans="5:10">
      <c r="E27">
        <v>2001</v>
      </c>
      <c r="J27" t="s">
        <v>126</v>
      </c>
    </row>
    <row r="28" spans="5:10">
      <c r="E28">
        <v>2000</v>
      </c>
      <c r="J28" t="s">
        <v>127</v>
      </c>
    </row>
    <row r="29" spans="5:10">
      <c r="E29">
        <v>1999</v>
      </c>
      <c r="J29" t="s">
        <v>128</v>
      </c>
    </row>
    <row r="30" spans="5:10">
      <c r="E30">
        <v>1998</v>
      </c>
      <c r="J30" t="s">
        <v>129</v>
      </c>
    </row>
    <row r="31" spans="5:10">
      <c r="E31">
        <v>1997</v>
      </c>
      <c r="J31" t="s">
        <v>130</v>
      </c>
    </row>
    <row r="32" spans="5:10">
      <c r="E32">
        <v>1996</v>
      </c>
      <c r="J32" t="s">
        <v>131</v>
      </c>
    </row>
    <row r="33" spans="5:5">
      <c r="E33">
        <v>1995</v>
      </c>
    </row>
    <row r="34" spans="5:5">
      <c r="E34">
        <v>1994</v>
      </c>
    </row>
    <row r="35" spans="5:5">
      <c r="E35">
        <v>1993</v>
      </c>
    </row>
    <row r="36" spans="5:5">
      <c r="E36">
        <v>1992</v>
      </c>
    </row>
    <row r="37" spans="5:5">
      <c r="E37">
        <v>1991</v>
      </c>
    </row>
    <row r="38" spans="5:5">
      <c r="E38">
        <v>1990</v>
      </c>
    </row>
    <row r="39" spans="5:5">
      <c r="E39">
        <v>1989</v>
      </c>
    </row>
    <row r="40" spans="5:5">
      <c r="E40">
        <v>1988</v>
      </c>
    </row>
    <row r="41" spans="5:5">
      <c r="E41">
        <v>1987</v>
      </c>
    </row>
    <row r="42" spans="5:5">
      <c r="E42">
        <v>1986</v>
      </c>
    </row>
    <row r="43" spans="5:5">
      <c r="E43">
        <v>1985</v>
      </c>
    </row>
    <row r="44" spans="5:5">
      <c r="E44">
        <v>1984</v>
      </c>
    </row>
    <row r="45" spans="5:5">
      <c r="E45">
        <v>1983</v>
      </c>
    </row>
    <row r="46" spans="5:5">
      <c r="E46">
        <v>1982</v>
      </c>
    </row>
    <row r="47" spans="5:5">
      <c r="E47">
        <v>1981</v>
      </c>
    </row>
    <row r="48" spans="5:5">
      <c r="E48">
        <v>1980</v>
      </c>
    </row>
    <row r="49" spans="5:5">
      <c r="E49">
        <v>1979</v>
      </c>
    </row>
    <row r="50" spans="5:5">
      <c r="E50">
        <v>1978</v>
      </c>
    </row>
    <row r="51" spans="5:5">
      <c r="E51">
        <v>1977</v>
      </c>
    </row>
    <row r="52" spans="5:5">
      <c r="E52">
        <v>1976</v>
      </c>
    </row>
    <row r="53" spans="5:5">
      <c r="E53">
        <v>1975</v>
      </c>
    </row>
    <row r="54" spans="5:5">
      <c r="E54">
        <v>1974</v>
      </c>
    </row>
    <row r="55" spans="5:5">
      <c r="E55">
        <v>1973</v>
      </c>
    </row>
    <row r="56" spans="5:5">
      <c r="E56">
        <v>1972</v>
      </c>
    </row>
    <row r="57" spans="5:5">
      <c r="E57">
        <v>1971</v>
      </c>
    </row>
    <row r="58" spans="5:5">
      <c r="E58">
        <v>1970</v>
      </c>
    </row>
    <row r="59" spans="5:5">
      <c r="E59">
        <v>1969</v>
      </c>
    </row>
    <row r="60" spans="5:5">
      <c r="E60">
        <v>1968</v>
      </c>
    </row>
    <row r="61" spans="5:5">
      <c r="E61">
        <v>1967</v>
      </c>
    </row>
    <row r="62" spans="5:5">
      <c r="E62">
        <v>1966</v>
      </c>
    </row>
    <row r="63" spans="5:5">
      <c r="E63">
        <v>1965</v>
      </c>
    </row>
    <row r="64" spans="5:5">
      <c r="E64">
        <v>1964</v>
      </c>
    </row>
    <row r="65" spans="5:5">
      <c r="E65">
        <v>1963</v>
      </c>
    </row>
    <row r="66" spans="5:5">
      <c r="E66">
        <v>1962</v>
      </c>
    </row>
    <row r="67" spans="5:5">
      <c r="E67">
        <v>1961</v>
      </c>
    </row>
    <row r="68" spans="5:5">
      <c r="E68">
        <v>1960</v>
      </c>
    </row>
    <row r="69" spans="5:5">
      <c r="E69">
        <v>1959</v>
      </c>
    </row>
    <row r="70" spans="5:5">
      <c r="E70">
        <v>1958</v>
      </c>
    </row>
    <row r="71" spans="5:5">
      <c r="E71">
        <v>1957</v>
      </c>
    </row>
    <row r="72" spans="5:5">
      <c r="E72">
        <v>1956</v>
      </c>
    </row>
    <row r="73" spans="5:5">
      <c r="E73">
        <v>1955</v>
      </c>
    </row>
    <row r="74" spans="5:5">
      <c r="E74">
        <v>1954</v>
      </c>
    </row>
    <row r="75" spans="5:5">
      <c r="E75">
        <v>1953</v>
      </c>
    </row>
    <row r="76" spans="5:5">
      <c r="E76">
        <v>1952</v>
      </c>
    </row>
    <row r="77" spans="5:5">
      <c r="E77">
        <v>1951</v>
      </c>
    </row>
    <row r="78" spans="5:5">
      <c r="E78">
        <v>1950</v>
      </c>
    </row>
    <row r="79" spans="5:5">
      <c r="E79">
        <v>1949</v>
      </c>
    </row>
    <row r="80" spans="5:5">
      <c r="E80">
        <v>1948</v>
      </c>
    </row>
    <row r="81" spans="5:5">
      <c r="E81">
        <v>1947</v>
      </c>
    </row>
    <row r="82" spans="5:5">
      <c r="E82">
        <v>1946</v>
      </c>
    </row>
    <row r="83" spans="5:5">
      <c r="E83">
        <v>1945</v>
      </c>
    </row>
    <row r="84" spans="5:5">
      <c r="E84">
        <v>1944</v>
      </c>
    </row>
    <row r="85" spans="5:5">
      <c r="E85">
        <v>1943</v>
      </c>
    </row>
    <row r="86" spans="5:5">
      <c r="E86">
        <v>1942</v>
      </c>
    </row>
    <row r="87" spans="5:5">
      <c r="E87">
        <v>1941</v>
      </c>
    </row>
    <row r="88" spans="5:5">
      <c r="E88">
        <v>1940</v>
      </c>
    </row>
    <row r="89" spans="5:5">
      <c r="E89">
        <v>1939</v>
      </c>
    </row>
    <row r="90" spans="5:5">
      <c r="E90">
        <v>1938</v>
      </c>
    </row>
    <row r="91" spans="5:5">
      <c r="E91">
        <v>1937</v>
      </c>
    </row>
    <row r="92" spans="5:5">
      <c r="E92">
        <v>1936</v>
      </c>
    </row>
    <row r="93" spans="5:5">
      <c r="E93">
        <v>1935</v>
      </c>
    </row>
    <row r="94" spans="5:5">
      <c r="E94">
        <v>1934</v>
      </c>
    </row>
    <row r="95" spans="5:5">
      <c r="E95">
        <v>1933</v>
      </c>
    </row>
    <row r="96" spans="5:5">
      <c r="E96">
        <v>1932</v>
      </c>
    </row>
    <row r="97" spans="5:5">
      <c r="E97">
        <v>1931</v>
      </c>
    </row>
    <row r="98" spans="5:5">
      <c r="E98">
        <v>1930</v>
      </c>
    </row>
    <row r="99" spans="5:5">
      <c r="E99">
        <v>1929</v>
      </c>
    </row>
    <row r="100" spans="5:5">
      <c r="E100">
        <v>1928</v>
      </c>
    </row>
    <row r="101" spans="5:5">
      <c r="E101">
        <v>1927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50</vt:i4>
      </vt:variant>
    </vt:vector>
  </HeadingPairs>
  <TitlesOfParts>
    <vt:vector size="53" baseType="lpstr">
      <vt:lpstr>Prijava</vt:lpstr>
      <vt:lpstr>Ekipno</vt:lpstr>
      <vt:lpstr>Pravilnik</vt:lpstr>
      <vt:lpstr>disc_A</vt:lpstr>
      <vt:lpstr>disc_B</vt:lpstr>
      <vt:lpstr>disc_C</vt:lpstr>
      <vt:lpstr>disc_D</vt:lpstr>
      <vt:lpstr>disc_E</vt:lpstr>
      <vt:lpstr>disc_F</vt:lpstr>
      <vt:lpstr>disc_G</vt:lpstr>
      <vt:lpstr>disc_H</vt:lpstr>
      <vt:lpstr>disc_I</vt:lpstr>
      <vt:lpstr>disc_J</vt:lpstr>
      <vt:lpstr>ekipe</vt:lpstr>
      <vt:lpstr>godista</vt:lpstr>
      <vt:lpstr>grupe</vt:lpstr>
      <vt:lpstr>kg_A_M</vt:lpstr>
      <vt:lpstr>kg_A_Z</vt:lpstr>
      <vt:lpstr>kg_B_M</vt:lpstr>
      <vt:lpstr>kg_B_Z</vt:lpstr>
      <vt:lpstr>kg_C_M</vt:lpstr>
      <vt:lpstr>kg_C_Z</vt:lpstr>
      <vt:lpstr>kg_D_M</vt:lpstr>
      <vt:lpstr>kg_D_Z</vt:lpstr>
      <vt:lpstr>kg_E_M</vt:lpstr>
      <vt:lpstr>kg_E_Z</vt:lpstr>
      <vt:lpstr>kg_F_M</vt:lpstr>
      <vt:lpstr>kg_F_Z</vt:lpstr>
      <vt:lpstr>kg_G_M</vt:lpstr>
      <vt:lpstr>kg_G_Z</vt:lpstr>
      <vt:lpstr>kg_H_M</vt:lpstr>
      <vt:lpstr>kg_H_Z</vt:lpstr>
      <vt:lpstr>kg_I_M</vt:lpstr>
      <vt:lpstr>kg_I_Z</vt:lpstr>
      <vt:lpstr>kg_J_M</vt:lpstr>
      <vt:lpstr>kg_J_Z</vt:lpstr>
      <vt:lpstr>pojasevi</vt:lpstr>
      <vt:lpstr>polovi</vt:lpstr>
      <vt:lpstr>Ekipno!Print_Titles</vt:lpstr>
      <vt:lpstr>Prijava!Print_Titles</vt:lpstr>
      <vt:lpstr>sve_discipline</vt:lpstr>
      <vt:lpstr>sve_ekipne</vt:lpstr>
      <vt:lpstr>sve_kilaze</vt:lpstr>
      <vt:lpstr>tdisc_A</vt:lpstr>
      <vt:lpstr>tdisc_B</vt:lpstr>
      <vt:lpstr>tdisc_C</vt:lpstr>
      <vt:lpstr>tdisc_D</vt:lpstr>
      <vt:lpstr>tdisc_E</vt:lpstr>
      <vt:lpstr>tdisc_F</vt:lpstr>
      <vt:lpstr>tdisc_G</vt:lpstr>
      <vt:lpstr>tdisc_H</vt:lpstr>
      <vt:lpstr>tdisc_I</vt:lpstr>
      <vt:lpstr>vrste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2026-10-06T16:57:49Z</dcterms:created>
  <dcterms:modified xsi:type="dcterms:W3CDTF">2026-10-06T16:57:49Z</dcterms:modified>
</cp:coreProperties>
</file>